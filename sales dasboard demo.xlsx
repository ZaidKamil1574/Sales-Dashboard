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zaidkamil/Downloads/"/>
    </mc:Choice>
  </mc:AlternateContent>
  <xr:revisionPtr revIDLastSave="0" documentId="13_ncr:1_{EE661864-F2AC-ED46-AE00-3187AC4966D3}" xr6:coauthVersionLast="47" xr6:coauthVersionMax="47" xr10:uidLastSave="{00000000-0000-0000-0000-000000000000}"/>
  <bookViews>
    <workbookView xWindow="0" yWindow="660" windowWidth="16380" windowHeight="13720" tabRatio="500" xr2:uid="{00000000-000D-0000-FFFF-FFFF00000000}"/>
  </bookViews>
  <sheets>
    <sheet name="Dashboard" sheetId="1" r:id="rId1"/>
    <sheet name="Sales Database" sheetId="2" r:id="rId2"/>
  </sheets>
  <definedNames>
    <definedName name="_xlnm._FilterDatabase" localSheetId="1" hidden="1">'Sales Database'!$B$2:$I$173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F177" i="2"/>
  <c r="F176" i="2"/>
  <c r="F175" i="2"/>
  <c r="H173" i="2"/>
  <c r="G173" i="2"/>
  <c r="H172" i="2"/>
  <c r="G172" i="2"/>
  <c r="G171" i="2"/>
  <c r="H171" i="2" s="1"/>
  <c r="H170" i="2"/>
  <c r="G170" i="2"/>
  <c r="H169" i="2"/>
  <c r="G169" i="2"/>
  <c r="H168" i="2"/>
  <c r="G168" i="2"/>
  <c r="H167" i="2"/>
  <c r="G167" i="2"/>
  <c r="G166" i="2"/>
  <c r="H166" i="2" s="1"/>
  <c r="C35" i="1" s="1"/>
  <c r="H165" i="2"/>
  <c r="G165" i="2"/>
  <c r="H164" i="2"/>
  <c r="G164" i="2"/>
  <c r="H163" i="2"/>
  <c r="G163" i="2"/>
  <c r="H162" i="2"/>
  <c r="G162" i="2"/>
  <c r="G161" i="2"/>
  <c r="H161" i="2" s="1"/>
  <c r="H160" i="2"/>
  <c r="G160" i="2"/>
  <c r="H159" i="2"/>
  <c r="G159" i="2"/>
  <c r="H158" i="2"/>
  <c r="G158" i="2"/>
  <c r="H157" i="2"/>
  <c r="G157" i="2"/>
  <c r="G156" i="2"/>
  <c r="H156" i="2" s="1"/>
  <c r="H155" i="2"/>
  <c r="G155" i="2"/>
  <c r="H154" i="2"/>
  <c r="G154" i="2"/>
  <c r="H153" i="2"/>
  <c r="G153" i="2"/>
  <c r="H152" i="2"/>
  <c r="G152" i="2"/>
  <c r="G151" i="2"/>
  <c r="H151" i="2" s="1"/>
  <c r="H150" i="2"/>
  <c r="G150" i="2"/>
  <c r="H149" i="2"/>
  <c r="G149" i="2"/>
  <c r="H148" i="2"/>
  <c r="C33" i="1" s="1"/>
  <c r="G148" i="2"/>
  <c r="H147" i="2"/>
  <c r="G147" i="2"/>
  <c r="G146" i="2"/>
  <c r="H146" i="2" s="1"/>
  <c r="H145" i="2"/>
  <c r="G145" i="2"/>
  <c r="H144" i="2"/>
  <c r="C32" i="1" s="1"/>
  <c r="G144" i="2"/>
  <c r="H143" i="2"/>
  <c r="G143" i="2"/>
  <c r="H142" i="2"/>
  <c r="G142" i="2"/>
  <c r="G141" i="2"/>
  <c r="H141" i="2" s="1"/>
  <c r="H140" i="2"/>
  <c r="G140" i="2"/>
  <c r="H139" i="2"/>
  <c r="G139" i="2"/>
  <c r="H138" i="2"/>
  <c r="G138" i="2"/>
  <c r="H137" i="2"/>
  <c r="G137" i="2"/>
  <c r="G136" i="2"/>
  <c r="H136" i="2" s="1"/>
  <c r="H135" i="2"/>
  <c r="G135" i="2"/>
  <c r="H134" i="2"/>
  <c r="G134" i="2"/>
  <c r="H133" i="2"/>
  <c r="G133" i="2"/>
  <c r="H132" i="2"/>
  <c r="G132" i="2"/>
  <c r="G131" i="2"/>
  <c r="H131" i="2" s="1"/>
  <c r="H130" i="2"/>
  <c r="G130" i="2"/>
  <c r="H129" i="2"/>
  <c r="G129" i="2"/>
  <c r="H128" i="2"/>
  <c r="G128" i="2"/>
  <c r="H127" i="2"/>
  <c r="C31" i="1" s="1"/>
  <c r="G127" i="2"/>
  <c r="G126" i="2"/>
  <c r="H126" i="2" s="1"/>
  <c r="H125" i="2"/>
  <c r="G125" i="2"/>
  <c r="H124" i="2"/>
  <c r="G124" i="2"/>
  <c r="H123" i="2"/>
  <c r="G123" i="2"/>
  <c r="H122" i="2"/>
  <c r="G122" i="2"/>
  <c r="G121" i="2"/>
  <c r="H121" i="2" s="1"/>
  <c r="H120" i="2"/>
  <c r="G120" i="2"/>
  <c r="H119" i="2"/>
  <c r="G119" i="2"/>
  <c r="H118" i="2"/>
  <c r="G118" i="2"/>
  <c r="H117" i="2"/>
  <c r="G117" i="2"/>
  <c r="G116" i="2"/>
  <c r="H116" i="2" s="1"/>
  <c r="H115" i="2"/>
  <c r="G115" i="2"/>
  <c r="H114" i="2"/>
  <c r="G114" i="2"/>
  <c r="H113" i="2"/>
  <c r="G113" i="2"/>
  <c r="H112" i="2"/>
  <c r="G112" i="2"/>
  <c r="G111" i="2"/>
  <c r="H111" i="2" s="1"/>
  <c r="H110" i="2"/>
  <c r="G110" i="2"/>
  <c r="H109" i="2"/>
  <c r="G109" i="2"/>
  <c r="H108" i="2"/>
  <c r="G108" i="2"/>
  <c r="H107" i="2"/>
  <c r="G107" i="2"/>
  <c r="G106" i="2"/>
  <c r="H106" i="2" s="1"/>
  <c r="H105" i="2"/>
  <c r="G105" i="2"/>
  <c r="H104" i="2"/>
  <c r="G104" i="2"/>
  <c r="H103" i="2"/>
  <c r="G103" i="2"/>
  <c r="H102" i="2"/>
  <c r="G102" i="2"/>
  <c r="G101" i="2"/>
  <c r="H101" i="2" s="1"/>
  <c r="H100" i="2"/>
  <c r="G100" i="2"/>
  <c r="H99" i="2"/>
  <c r="G99" i="2"/>
  <c r="H98" i="2"/>
  <c r="G98" i="2"/>
  <c r="H97" i="2"/>
  <c r="G97" i="2"/>
  <c r="G96" i="2"/>
  <c r="H96" i="2" s="1"/>
  <c r="H95" i="2"/>
  <c r="G95" i="2"/>
  <c r="H94" i="2"/>
  <c r="G94" i="2"/>
  <c r="H93" i="2"/>
  <c r="G93" i="2"/>
  <c r="H92" i="2"/>
  <c r="G92" i="2"/>
  <c r="G91" i="2"/>
  <c r="H91" i="2" s="1"/>
  <c r="H90" i="2"/>
  <c r="G90" i="2"/>
  <c r="H89" i="2"/>
  <c r="G89" i="2"/>
  <c r="H88" i="2"/>
  <c r="G88" i="2"/>
  <c r="H87" i="2"/>
  <c r="G87" i="2"/>
  <c r="G86" i="2"/>
  <c r="H86" i="2" s="1"/>
  <c r="H85" i="2"/>
  <c r="G85" i="2"/>
  <c r="H84" i="2"/>
  <c r="G84" i="2"/>
  <c r="H83" i="2"/>
  <c r="G83" i="2"/>
  <c r="H82" i="2"/>
  <c r="G82" i="2"/>
  <c r="G81" i="2"/>
  <c r="H81" i="2" s="1"/>
  <c r="C29" i="1" s="1"/>
  <c r="H80" i="2"/>
  <c r="G80" i="2"/>
  <c r="H79" i="2"/>
  <c r="G79" i="2"/>
  <c r="H78" i="2"/>
  <c r="G78" i="2"/>
  <c r="H77" i="2"/>
  <c r="G77" i="2"/>
  <c r="G76" i="2"/>
  <c r="H76" i="2" s="1"/>
  <c r="H75" i="2"/>
  <c r="G75" i="2"/>
  <c r="H74" i="2"/>
  <c r="G74" i="2"/>
  <c r="H73" i="2"/>
  <c r="G73" i="2"/>
  <c r="H72" i="2"/>
  <c r="G72" i="2"/>
  <c r="G71" i="2"/>
  <c r="H71" i="2" s="1"/>
  <c r="H70" i="2"/>
  <c r="G70" i="2"/>
  <c r="H69" i="2"/>
  <c r="G69" i="2"/>
  <c r="H68" i="2"/>
  <c r="G68" i="2"/>
  <c r="H67" i="2"/>
  <c r="G67" i="2"/>
  <c r="G66" i="2"/>
  <c r="H66" i="2" s="1"/>
  <c r="H65" i="2"/>
  <c r="G65" i="2"/>
  <c r="H64" i="2"/>
  <c r="G64" i="2"/>
  <c r="H63" i="2"/>
  <c r="G63" i="2"/>
  <c r="H62" i="2"/>
  <c r="G62" i="2"/>
  <c r="G61" i="2"/>
  <c r="H61" i="2" s="1"/>
  <c r="H60" i="2"/>
  <c r="G60" i="2"/>
  <c r="H59" i="2"/>
  <c r="G59" i="2"/>
  <c r="H58" i="2"/>
  <c r="G58" i="2"/>
  <c r="H57" i="2"/>
  <c r="G57" i="2"/>
  <c r="G56" i="2"/>
  <c r="H56" i="2" s="1"/>
  <c r="H55" i="2"/>
  <c r="G55" i="2"/>
  <c r="H54" i="2"/>
  <c r="G54" i="2"/>
  <c r="H53" i="2"/>
  <c r="G53" i="2"/>
  <c r="H52" i="2"/>
  <c r="G52" i="2"/>
  <c r="G51" i="2"/>
  <c r="H51" i="2" s="1"/>
  <c r="H50" i="2"/>
  <c r="G50" i="2"/>
  <c r="H49" i="2"/>
  <c r="G49" i="2"/>
  <c r="H48" i="2"/>
  <c r="G48" i="2"/>
  <c r="H47" i="2"/>
  <c r="G47" i="2"/>
  <c r="G46" i="2"/>
  <c r="H46" i="2" s="1"/>
  <c r="H45" i="2"/>
  <c r="G45" i="2"/>
  <c r="H44" i="2"/>
  <c r="G44" i="2"/>
  <c r="H43" i="2"/>
  <c r="G43" i="2"/>
  <c r="H42" i="2"/>
  <c r="G42" i="2"/>
  <c r="G41" i="2"/>
  <c r="H41" i="2" s="1"/>
  <c r="H40" i="2"/>
  <c r="G40" i="2"/>
  <c r="H39" i="2"/>
  <c r="F20" i="1" s="1"/>
  <c r="G39" i="2"/>
  <c r="H38" i="2"/>
  <c r="G38" i="2"/>
  <c r="H37" i="2"/>
  <c r="C26" i="1" s="1"/>
  <c r="G37" i="2"/>
  <c r="G36" i="2"/>
  <c r="H36" i="2" s="1"/>
  <c r="H35" i="2"/>
  <c r="G35" i="2"/>
  <c r="H34" i="2"/>
  <c r="G34" i="2"/>
  <c r="H33" i="2"/>
  <c r="G33" i="2"/>
  <c r="H32" i="2"/>
  <c r="G32" i="2"/>
  <c r="G31" i="2"/>
  <c r="H31" i="2" s="1"/>
  <c r="H30" i="2"/>
  <c r="G30" i="2"/>
  <c r="H29" i="2"/>
  <c r="G29" i="2"/>
  <c r="H28" i="2"/>
  <c r="F19" i="1" s="1"/>
  <c r="G28" i="2"/>
  <c r="H27" i="2"/>
  <c r="G27" i="2"/>
  <c r="G26" i="2"/>
  <c r="H26" i="2" s="1"/>
  <c r="H25" i="2"/>
  <c r="G25" i="2"/>
  <c r="H24" i="2"/>
  <c r="G24" i="2"/>
  <c r="H23" i="2"/>
  <c r="G23" i="2"/>
  <c r="H22" i="2"/>
  <c r="C16" i="1" s="1"/>
  <c r="G22" i="2"/>
  <c r="G21" i="2"/>
  <c r="H21" i="2" s="1"/>
  <c r="H20" i="2"/>
  <c r="C25" i="1" s="1"/>
  <c r="G20" i="2"/>
  <c r="H19" i="2"/>
  <c r="G19" i="2"/>
  <c r="H18" i="2"/>
  <c r="G18" i="2"/>
  <c r="H17" i="2"/>
  <c r="G17" i="2"/>
  <c r="G16" i="2"/>
  <c r="H16" i="2" s="1"/>
  <c r="H15" i="2"/>
  <c r="G15" i="2"/>
  <c r="H14" i="2"/>
  <c r="G14" i="2"/>
  <c r="H13" i="2"/>
  <c r="G13" i="2"/>
  <c r="H12" i="2"/>
  <c r="G12" i="2"/>
  <c r="G11" i="2"/>
  <c r="H11" i="2" s="1"/>
  <c r="H10" i="2"/>
  <c r="G10" i="2"/>
  <c r="H9" i="2"/>
  <c r="G9" i="2"/>
  <c r="H8" i="2"/>
  <c r="G8" i="2"/>
  <c r="H7" i="2"/>
  <c r="G7" i="2"/>
  <c r="G6" i="2"/>
  <c r="H6" i="2" s="1"/>
  <c r="H5" i="2"/>
  <c r="G5" i="2"/>
  <c r="H4" i="2"/>
  <c r="G4" i="2"/>
  <c r="H3" i="2"/>
  <c r="G3" i="2"/>
  <c r="F13" i="1" l="1"/>
  <c r="F18" i="1"/>
  <c r="F17" i="1"/>
  <c r="F15" i="1"/>
  <c r="C30" i="1"/>
  <c r="C28" i="1"/>
  <c r="F14" i="1"/>
  <c r="C14" i="1"/>
  <c r="F16" i="1"/>
  <c r="C27" i="1"/>
  <c r="C17" i="1"/>
  <c r="C34" i="1"/>
  <c r="F21" i="1"/>
  <c r="C24" i="1"/>
  <c r="F12" i="1"/>
  <c r="H6" i="1"/>
  <c r="C12" i="1"/>
  <c r="C13" i="1"/>
  <c r="C15" i="1"/>
  <c r="B6" i="1"/>
  <c r="C18" i="1" l="1"/>
</calcChain>
</file>

<file path=xl/sharedStrings.xml><?xml version="1.0" encoding="utf-8"?>
<sst xmlns="http://schemas.openxmlformats.org/spreadsheetml/2006/main" count="572" uniqueCount="54">
  <si>
    <t>Total Revenue</t>
  </si>
  <si>
    <t>Total Transactions</t>
  </si>
  <si>
    <t>Avg. Sale Value</t>
  </si>
  <si>
    <t>Sales by Store Location</t>
  </si>
  <si>
    <t>Sales by Product</t>
  </si>
  <si>
    <t>Store Location</t>
  </si>
  <si>
    <t>Total Sales</t>
  </si>
  <si>
    <t>Product Description</t>
  </si>
  <si>
    <t>AZ</t>
  </si>
  <si>
    <t>Woodlore Plus Shutters</t>
  </si>
  <si>
    <t>CA</t>
  </si>
  <si>
    <t>CityLights Aluminum Blinds</t>
  </si>
  <si>
    <t>CO</t>
  </si>
  <si>
    <t>Ultimate Faux Wood Blinds</t>
  </si>
  <si>
    <t>NM</t>
  </si>
  <si>
    <t>SmartDrape Motorized Shades</t>
  </si>
  <si>
    <t>NV</t>
  </si>
  <si>
    <t>Soluna Roller Shades</t>
  </si>
  <si>
    <t>UT</t>
  </si>
  <si>
    <t>Portrait Honeycomb Shades</t>
  </si>
  <si>
    <t>Grand Total</t>
  </si>
  <si>
    <t>Synchrony Vertical Blinds</t>
  </si>
  <si>
    <t>PerfectSheer Shades</t>
  </si>
  <si>
    <t>Centerpiece Roman Shades</t>
  </si>
  <si>
    <t>Normandy Shutters</t>
  </si>
  <si>
    <t>Sales by Month</t>
  </si>
  <si>
    <t>Month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</si>
  <si>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</si>
  <si>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</si>
  <si>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</si>
  <si>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</si>
  <si>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</si>
  <si>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</si>
  <si>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</si>
  <si>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</si>
  <si>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</si>
  <si>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</si>
  <si>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</si>
  <si>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</si>
  <si>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Transaction Number</t>
  </si>
  <si>
    <t>Item Code</t>
  </si>
  <si>
    <t>Product Cost</t>
  </si>
  <si>
    <t>Installation Price</t>
  </si>
  <si>
    <t>Total Price</t>
  </si>
  <si>
    <t>text to columns</t>
  </si>
  <si>
    <t>if</t>
  </si>
  <si>
    <t>sumif</t>
  </si>
  <si>
    <t>filter</t>
  </si>
  <si>
    <t>pivot tablees</t>
  </si>
  <si>
    <t>pie chart</t>
  </si>
  <si>
    <t>Sum of all items</t>
  </si>
  <si>
    <t>Sum items valued more than $50</t>
  </si>
  <si>
    <t>Sum of items valued at $50 less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</si>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</sst>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2"/>
      <color theme="1"/>
      <name val="Calibri"/>
      <family val="2"/>
      <charset val="129"/>
    </font>
    <font>
      <b/>
      <sz val="22"/>
      <color rgb="FF1C3A5E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22"/>
      <color rgb="FFFFFFFF"/>
      <name val="Calibri"/>
      <family val="2"/>
    </font>
    <font>
      <b/>
      <sz val="13"/>
      <color rgb="FF1C779A"/>
      <name val="Calibri"/>
      <family val="2"/>
    </font>
    <font>
      <sz val="11"/>
      <color rgb="FF222222"/>
      <name val="Calibri"/>
      <family val="2"/>
    </font>
    <font>
      <b/>
      <sz val="11"/>
      <color rgb="FF222222"/>
      <name val="Calibri"/>
      <family val="2"/>
    </font>
    <font>
      <b/>
      <sz val="11"/>
      <color rgb="FF1C779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C779A"/>
        <bgColor rgb="FF008080"/>
      </patternFill>
    </fill>
    <fill>
      <patternFill patternType="solid">
        <fgColor rgb="FF1C3A5E"/>
        <bgColor rgb="FF333399"/>
      </patternFill>
    </fill>
    <fill>
      <patternFill patternType="solid">
        <fgColor rgb="FFFFFFFF"/>
        <bgColor rgb="FFF8F2E9"/>
      </patternFill>
    </fill>
    <fill>
      <patternFill patternType="solid">
        <fgColor rgb="FFDCEEF2"/>
        <bgColor rgb="FFF8F2E9"/>
      </patternFill>
    </fill>
    <fill>
      <patternFill patternType="solid">
        <fgColor rgb="FFF8F2E9"/>
        <bgColor rgb="FFFFFFFF"/>
      </patternFill>
    </fill>
  </fills>
  <borders count="5">
    <border>
      <left/>
      <right/>
      <top/>
      <bottom/>
      <diagonal/>
    </border>
    <border>
      <left style="thin">
        <color rgb="FFB7C4CE"/>
      </left>
      <right style="thin">
        <color rgb="FFB7C4CE"/>
      </right>
      <top style="thin">
        <color rgb="FFB7C4CE"/>
      </top>
      <bottom style="thin">
        <color rgb="FFB7C4CE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164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0" fontId="6" fillId="5" borderId="1" xfId="0" applyFont="1" applyFill="1" applyBorder="1" applyAlignment="1">
      <alignment horizontal="left"/>
    </xf>
    <xf numFmtId="164" fontId="6" fillId="5" borderId="1" xfId="0" applyNumberFormat="1" applyFont="1" applyFill="1" applyBorder="1" applyAlignment="1">
      <alignment horizontal="right"/>
    </xf>
    <xf numFmtId="0" fontId="6" fillId="5" borderId="1" xfId="0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7" fillId="6" borderId="1" xfId="0" applyFont="1" applyFill="1" applyBorder="1"/>
    <xf numFmtId="164" fontId="8" fillId="6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C779A"/>
      <rgbColor rgb="FFB7C4CE"/>
      <rgbColor rgb="FF878787"/>
      <rgbColor rgb="FF9999FF"/>
      <rgbColor rgb="FFC0504D"/>
      <rgbColor rgb="FFF8F2E9"/>
      <rgbColor rgb="FFDCEE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C3A5E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Sales by Store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4C0-D34D-9FF8-D53E7C8D1C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4C0-D34D-9FF8-D53E7C8D1C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4C0-D34D-9FF8-D53E7C8D1C3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4C0-D34D-9FF8-D53E7C8D1C3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4C0-D34D-9FF8-D53E7C8D1C3B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4C0-D34D-9FF8-D53E7C8D1C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4C0-D34D-9FF8-D53E7C8D1C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4C0-D34D-9FF8-D53E7C8D1C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4C0-D34D-9FF8-D53E7C8D1C3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4C0-D34D-9FF8-D53E7C8D1C3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4C0-D34D-9FF8-D53E7C8D1C3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4C0-D34D-9FF8-D53E7C8D1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Dashboard!$B$12:$B$17</c:f>
              <c:strCache>
                <c:ptCount val="6"/>
                <c:pt idx="0">
                  <c:v>AZ</c:v>
                </c:pt>
                <c:pt idx="1">
                  <c:v>CA</c:v>
                </c:pt>
                <c:pt idx="2">
                  <c:v>CO</c:v>
                </c:pt>
                <c:pt idx="3">
                  <c:v>NM</c:v>
                </c:pt>
                <c:pt idx="4">
                  <c:v>NV</c:v>
                </c:pt>
                <c:pt idx="5">
                  <c:v>UT</c:v>
                </c:pt>
              </c:strCache>
            </c:strRef>
          </c:cat>
          <c:val>
            <c:numRef>
              <c:f>Dashboard!$C$12:$C$17</c:f>
              <c:numCache>
                <c:formatCode>\$#,##0.00</c:formatCode>
                <c:ptCount val="6"/>
                <c:pt idx="0">
                  <c:v>13846.25</c:v>
                </c:pt>
                <c:pt idx="1">
                  <c:v>10655</c:v>
                </c:pt>
                <c:pt idx="2">
                  <c:v>847.25</c:v>
                </c:pt>
                <c:pt idx="3">
                  <c:v>5011.25</c:v>
                </c:pt>
                <c:pt idx="4">
                  <c:v>10728.75</c:v>
                </c:pt>
                <c:pt idx="5">
                  <c:v>3584.25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C0-D34D-9FF8-D53E7C8D1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C779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Dashboard!$C$23:$C$35</c:f>
              <c:numCache>
                <c:formatCode>\$#,##0.00</c:formatCode>
                <c:ptCount val="13"/>
                <c:pt idx="0" formatCode="General">
                  <c:v>0</c:v>
                </c:pt>
                <c:pt idx="1">
                  <c:v>3593</c:v>
                </c:pt>
                <c:pt idx="2">
                  <c:v>3666.75</c:v>
                </c:pt>
                <c:pt idx="3">
                  <c:v>4291.5</c:v>
                </c:pt>
                <c:pt idx="4">
                  <c:v>2674.75</c:v>
                </c:pt>
                <c:pt idx="5">
                  <c:v>2815.75</c:v>
                </c:pt>
                <c:pt idx="6">
                  <c:v>3472.25</c:v>
                </c:pt>
                <c:pt idx="7">
                  <c:v>8392.25</c:v>
                </c:pt>
                <c:pt idx="8">
                  <c:v>5445.25</c:v>
                </c:pt>
                <c:pt idx="9">
                  <c:v>3024.5</c:v>
                </c:pt>
                <c:pt idx="10">
                  <c:v>2610.5</c:v>
                </c:pt>
                <c:pt idx="11">
                  <c:v>2990</c:v>
                </c:pt>
                <c:pt idx="12">
                  <c:v>1696.25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A-B747-A16D-932CFCA4E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85747"/>
        <c:axId val="96610758"/>
      </c:barChart>
      <c:catAx>
        <c:axId val="66085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10758"/>
        <c:crosses val="autoZero"/>
        <c:auto val="1"/>
        <c:lblAlgn val="ctr"/>
        <c:lblOffset val="100"/>
        <c:noMultiLvlLbl val="0"/>
      </c:catAx>
      <c:valAx>
        <c:axId val="96610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85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C3A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Dashboard!$E$12:$E$21</c:f>
              <c:strCache>
                <c:ptCount val="10"/>
                <c:pt idx="0">
                  <c:v>Woodlore Plus Shutters</c:v>
                </c:pt>
                <c:pt idx="1">
                  <c:v>CityLights Aluminum Blinds</c:v>
                </c:pt>
                <c:pt idx="2">
                  <c:v>Ultimate Faux Wood Blinds</c:v>
                </c:pt>
                <c:pt idx="3">
                  <c:v>SmartDrape Motorized Shades</c:v>
                </c:pt>
                <c:pt idx="4">
                  <c:v>Soluna Roller Shades</c:v>
                </c:pt>
                <c:pt idx="5">
                  <c:v>Portrait Honeycomb Shades</c:v>
                </c:pt>
                <c:pt idx="6">
                  <c:v>Synchrony Vertical Blinds</c:v>
                </c:pt>
                <c:pt idx="7">
                  <c:v>PerfectSheer Shades</c:v>
                </c:pt>
                <c:pt idx="8">
                  <c:v>Centerpiece Roman Shades</c:v>
                </c:pt>
                <c:pt idx="9">
                  <c:v>Normandy Shutters</c:v>
                </c:pt>
              </c:strCache>
            </c:strRef>
          </c:cat>
          <c:val>
            <c:numRef>
              <c:f>Dashboard!$F$12:$F$21</c:f>
              <c:numCache>
                <c:formatCode>\$#,##0.00</c:formatCode>
                <c:ptCount val="10"/>
                <c:pt idx="0">
                  <c:v>4467.75</c:v>
                </c:pt>
                <c:pt idx="1">
                  <c:v>2508</c:v>
                </c:pt>
                <c:pt idx="2">
                  <c:v>2760</c:v>
                </c:pt>
                <c:pt idx="3">
                  <c:v>14950</c:v>
                </c:pt>
                <c:pt idx="4">
                  <c:v>3220</c:v>
                </c:pt>
                <c:pt idx="5">
                  <c:v>2846.25</c:v>
                </c:pt>
                <c:pt idx="6">
                  <c:v>2213.75</c:v>
                </c:pt>
                <c:pt idx="7">
                  <c:v>3622.5</c:v>
                </c:pt>
                <c:pt idx="8">
                  <c:v>2380.5</c:v>
                </c:pt>
                <c:pt idx="9">
                  <c:v>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6-3844-BC20-05808254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16143"/>
        <c:axId val="82384842"/>
      </c:barChart>
      <c:catAx>
        <c:axId val="688161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84842"/>
        <c:crosses val="autoZero"/>
        <c:auto val="1"/>
        <c:lblAlgn val="ctr"/>
        <c:lblOffset val="100"/>
        <c:noMultiLvlLbl val="0"/>
      </c:catAx>
      <c:valAx>
        <c:axId val="823848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16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20</xdr:row>
      <xdr:rowOff>25920</xdr:rowOff>
    </xdr:from>
    <xdr:to>
      <xdr:col>7</xdr:col>
      <xdr:colOff>500760</xdr:colOff>
      <xdr:row>35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11160</xdr:rowOff>
    </xdr:from>
    <xdr:to>
      <xdr:col>5</xdr:col>
      <xdr:colOff>1071360</xdr:colOff>
      <xdr:row>52</xdr:row>
      <xdr:rowOff>32040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37</xdr:row>
      <xdr:rowOff>11160</xdr:rowOff>
    </xdr:from>
    <xdr:to>
      <xdr:col>10</xdr:col>
      <xdr:colOff>313560</xdr:colOff>
      <xdr:row>55</xdr:row>
      <xdr:rowOff>180360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5"/>
  <sheetViews>
    <sheetView showGridLines="0" tabSelected="1" zoomScaleNormal="100" workbookViewId="0">
      <selection activeCell="I18" sqref="I18"/>
    </sheetView>
  </sheetViews>
  <sheetFormatPr baseColWidth="10" defaultColWidth="8.6640625" defaultRowHeight="16" x14ac:dyDescent="0.2"/>
  <cols>
    <col min="2" max="2" width="16" customWidth="1"/>
    <col min="3" max="3" width="14" customWidth="1"/>
    <col min="4" max="4" width="3" customWidth="1"/>
    <col min="5" max="5" width="28" customWidth="1"/>
    <col min="6" max="6" width="14" customWidth="1"/>
    <col min="7" max="7" width="3" customWidth="1"/>
  </cols>
  <sheetData>
    <row r="2" spans="2:11" ht="26.25" customHeight="1" x14ac:dyDescent="0.35">
      <c r="B2" s="5" t="s">
        <v>53</v>
      </c>
      <c r="C2" s="5"/>
      <c r="D2" s="5"/>
      <c r="E2" s="5"/>
      <c r="F2" s="5"/>
      <c r="G2" s="5"/>
      <c r="H2" s="5"/>
      <c r="I2" s="5"/>
      <c r="J2" s="5"/>
      <c r="K2" s="5"/>
    </row>
    <row r="3" spans="2:11" ht="15" customHeight="1" x14ac:dyDescent="0.2">
      <c r="B3" s="4"/>
      <c r="C3" s="4"/>
      <c r="D3" s="4"/>
      <c r="E3" s="4"/>
      <c r="F3" s="4"/>
      <c r="G3" s="4"/>
      <c r="H3" s="4"/>
      <c r="I3" s="4"/>
      <c r="J3" s="4"/>
      <c r="K3" s="4"/>
    </row>
    <row r="5" spans="2:11" ht="21.75" customHeight="1" x14ac:dyDescent="0.2">
      <c r="B5" s="3" t="s">
        <v>0</v>
      </c>
      <c r="C5" s="3"/>
      <c r="E5" s="3" t="s">
        <v>1</v>
      </c>
      <c r="F5" s="3"/>
      <c r="H5" s="3" t="s">
        <v>2</v>
      </c>
      <c r="I5" s="3"/>
    </row>
    <row r="6" spans="2:11" ht="36" customHeight="1" x14ac:dyDescent="0.2">
      <c r="B6" s="2">
        <f>SUM('Sales Database'!$H$3:$H$173)</f>
        <v>44672.75</v>
      </c>
      <c r="C6" s="2"/>
      <c r="E6" s="1">
        <f>COUNTA('Sales Database'!$C$3:$C$173)</f>
        <v>171</v>
      </c>
      <c r="F6" s="1"/>
      <c r="H6" s="2">
        <f>AVERAGE('Sales Database'!$H$3:$H$173)</f>
        <v>261.24415204678365</v>
      </c>
      <c r="I6" s="2"/>
    </row>
    <row r="7" spans="2:11" ht="15" customHeight="1" x14ac:dyDescent="0.2">
      <c r="B7" s="2"/>
      <c r="C7" s="2"/>
      <c r="E7" s="1"/>
      <c r="F7" s="1"/>
      <c r="H7" s="2"/>
      <c r="I7" s="2"/>
    </row>
    <row r="10" spans="2:11" ht="15.75" customHeight="1" x14ac:dyDescent="0.2">
      <c r="B10" s="6" t="s">
        <v>3</v>
      </c>
      <c r="E10" s="6" t="s">
        <v>4</v>
      </c>
    </row>
    <row r="11" spans="2:11" ht="15" customHeight="1" x14ac:dyDescent="0.2">
      <c r="B11" s="7" t="s">
        <v>5</v>
      </c>
      <c r="C11" s="7" t="s">
        <v>6</v>
      </c>
      <c r="E11" s="7" t="s">
        <v>7</v>
      </c>
      <c r="F11" s="7" t="s">
        <v>6</v>
      </c>
    </row>
    <row r="12" spans="2:11" ht="15" customHeight="1" x14ac:dyDescent="0.2">
      <c r="B12" s="8" t="s">
        <v>8</v>
      </c>
      <c r="C12" s="9">
        <f>SUMIF('Sales Database'!$I$3:$I$173,B12,'Sales Database'!$H$3:$H$173)</f>
        <v>13846.25</v>
      </c>
      <c r="E12" s="10" t="s">
        <v>9</v>
      </c>
      <c r="F12" s="9">
        <f>SUMIF('Sales Database'!$E$3:$E$173,E12,'Sales Database'!$H$3:$H$173)</f>
        <v>4467.75</v>
      </c>
    </row>
    <row r="13" spans="2:11" ht="15" customHeight="1" x14ac:dyDescent="0.2">
      <c r="B13" s="11" t="s">
        <v>10</v>
      </c>
      <c r="C13" s="12">
        <f>SUMIF('Sales Database'!$I$3:$I$173,B13,'Sales Database'!$H$3:$H$173)</f>
        <v>10655</v>
      </c>
      <c r="E13" s="13" t="s">
        <v>11</v>
      </c>
      <c r="F13" s="12">
        <f>SUMIF('Sales Database'!$E$3:$E$173,E13,'Sales Database'!$H$3:$H$173)</f>
        <v>2508</v>
      </c>
    </row>
    <row r="14" spans="2:11" ht="15" customHeight="1" x14ac:dyDescent="0.2">
      <c r="B14" s="8" t="s">
        <v>12</v>
      </c>
      <c r="C14" s="9">
        <f>SUMIF('Sales Database'!$I$3:$I$173,B14,'Sales Database'!$H$3:$H$173)</f>
        <v>847.25</v>
      </c>
      <c r="E14" s="10" t="s">
        <v>13</v>
      </c>
      <c r="F14" s="9">
        <f>SUMIF('Sales Database'!$E$3:$E$173,E14,'Sales Database'!$H$3:$H$173)</f>
        <v>2760</v>
      </c>
    </row>
    <row r="15" spans="2:11" ht="15" customHeight="1" x14ac:dyDescent="0.2">
      <c r="B15" s="11" t="s">
        <v>14</v>
      </c>
      <c r="C15" s="12">
        <f>SUMIF('Sales Database'!$I$3:$I$173,B15,'Sales Database'!$H$3:$H$173)</f>
        <v>5011.25</v>
      </c>
      <c r="E15" s="13" t="s">
        <v>15</v>
      </c>
      <c r="F15" s="12">
        <f>SUMIF('Sales Database'!$E$3:$E$173,E15,'Sales Database'!$H$3:$H$173)</f>
        <v>14950</v>
      </c>
    </row>
    <row r="16" spans="2:11" ht="15" customHeight="1" x14ac:dyDescent="0.2">
      <c r="B16" s="8" t="s">
        <v>16</v>
      </c>
      <c r="C16" s="9">
        <f>SUMIF('Sales Database'!$I$3:$I$173,B16,'Sales Database'!$H$3:$H$173)</f>
        <v>10728.75</v>
      </c>
      <c r="E16" s="10" t="s">
        <v>17</v>
      </c>
      <c r="F16" s="9">
        <f>SUMIF('Sales Database'!$E$3:$E$173,E16,'Sales Database'!$H$3:$H$173)</f>
        <v>3220</v>
      </c>
    </row>
    <row r="17" spans="2:6" ht="15" customHeight="1" x14ac:dyDescent="0.2">
      <c r="B17" s="11" t="s">
        <v>18</v>
      </c>
      <c r="C17" s="12">
        <f>SUMIF('Sales Database'!$I$3:$I$173,B17,'Sales Database'!$H$3:$H$173)</f>
        <v>3584.25</v>
      </c>
      <c r="E17" s="13" t="s">
        <v>19</v>
      </c>
      <c r="F17" s="12">
        <f>SUMIF('Sales Database'!$E$3:$E$173,E17,'Sales Database'!$H$3:$H$173)</f>
        <v>2846.25</v>
      </c>
    </row>
    <row r="18" spans="2:6" ht="15" customHeight="1" x14ac:dyDescent="0.2">
      <c r="B18" s="14" t="s">
        <v>20</v>
      </c>
      <c r="C18" s="15">
        <f>SUM(C12:C17)</f>
        <v>44672.75</v>
      </c>
      <c r="E18" s="10" t="s">
        <v>21</v>
      </c>
      <c r="F18" s="9">
        <f>SUMIF('Sales Database'!$E$3:$E$173,E18,'Sales Database'!$H$3:$H$173)</f>
        <v>2213.75</v>
      </c>
    </row>
    <row r="19" spans="2:6" ht="15" customHeight="1" x14ac:dyDescent="0.2">
      <c r="E19" s="13" t="s">
        <v>22</v>
      </c>
      <c r="F19" s="12">
        <f>SUMIF('Sales Database'!$E$3:$E$173,E19,'Sales Database'!$H$3:$H$173)</f>
        <v>3622.5</v>
      </c>
    </row>
    <row r="20" spans="2:6" ht="15" customHeight="1" x14ac:dyDescent="0.2">
      <c r="E20" s="10" t="s">
        <v>23</v>
      </c>
      <c r="F20" s="9">
        <f>SUMIF('Sales Database'!$E$3:$E$173,E20,'Sales Database'!$H$3:$H$173)</f>
        <v>2380.5</v>
      </c>
    </row>
    <row r="21" spans="2:6" ht="15" customHeight="1" x14ac:dyDescent="0.2">
      <c r="E21" s="13" t="s">
        <v>24</v>
      </c>
      <c r="F21" s="12">
        <f>SUMIF('Sales Database'!$E$3:$E$173,E21,'Sales Database'!$H$3:$H$173)</f>
        <v>5704</v>
      </c>
    </row>
    <row r="22" spans="2:6" ht="15.75" customHeight="1" x14ac:dyDescent="0.2">
      <c r="B22" s="6" t="s">
        <v>25</v>
      </c>
    </row>
    <row r="23" spans="2:6" ht="15" customHeight="1" x14ac:dyDescent="0.2">
      <c r="B23" s="7" t="s">
        <v>26</v>
      </c>
      <c r="C23" s="7" t="s">
        <v>6</v>
      </c>
    </row>
    <row r="24" spans="2:6" ht="15" customHeight="1" x14ac:dyDescent="0.2">
      <c r="B24" s="10" t="s">
        <v>27</v>
      </c>
      <c r="C24" s="9">
        <f>SUMIF('Sales Database'!$B$3:$B$173,B24,'Sales Database'!$H$3:$H$173)</f>
        <v>3593</v>
      </c>
    </row>
    <row r="25" spans="2:6" ht="15" customHeight="1" x14ac:dyDescent="0.2">
      <c r="B25" s="13" t="s">
        <v>28</v>
      </c>
      <c r="C25" s="12">
        <f>SUMIF('Sales Database'!$B$3:$B$173,B25,'Sales Database'!$H$3:$H$173)</f>
        <v>3666.75</v>
      </c>
    </row>
    <row r="26" spans="2:6" ht="15" customHeight="1" x14ac:dyDescent="0.2">
      <c r="B26" s="10" t="s">
        <v>29</v>
      </c>
      <c r="C26" s="9">
        <f>SUMIF('Sales Database'!$B$3:$B$173,B26,'Sales Database'!$H$3:$H$173)</f>
        <v>4291.5</v>
      </c>
    </row>
    <row r="27" spans="2:6" ht="15" customHeight="1" x14ac:dyDescent="0.2">
      <c r="B27" s="13" t="s">
        <v>30</v>
      </c>
      <c r="C27" s="12">
        <f>SUMIF('Sales Database'!$B$3:$B$173,B27,'Sales Database'!$H$3:$H$173)</f>
        <v>2674.75</v>
      </c>
    </row>
    <row r="28" spans="2:6" ht="15" customHeight="1" x14ac:dyDescent="0.2">
      <c r="B28" s="10" t="s">
        <v>31</v>
      </c>
      <c r="C28" s="9">
        <f>SUMIF('Sales Database'!$B$3:$B$173,B28,'Sales Database'!$H$3:$H$173)</f>
        <v>2815.75</v>
      </c>
    </row>
    <row r="29" spans="2:6" ht="15" customHeight="1" x14ac:dyDescent="0.2">
      <c r="B29" s="13" t="s">
        <v>32</v>
      </c>
      <c r="C29" s="12">
        <f>SUMIF('Sales Database'!$B$3:$B$173,B29,'Sales Database'!$H$3:$H$173)</f>
        <v>3472.25</v>
      </c>
    </row>
    <row r="30" spans="2:6" ht="15" customHeight="1" x14ac:dyDescent="0.2">
      <c r="B30" s="10" t="s">
        <v>33</v>
      </c>
      <c r="C30" s="9">
        <f>SUMIF('Sales Database'!$B$3:$B$173,B30,'Sales Database'!$H$3:$H$173)</f>
        <v>8392.25</v>
      </c>
    </row>
    <row r="31" spans="2:6" ht="15" customHeight="1" x14ac:dyDescent="0.2">
      <c r="B31" s="13" t="s">
        <v>34</v>
      </c>
      <c r="C31" s="12">
        <f>SUMIF('Sales Database'!$B$3:$B$173,B31,'Sales Database'!$H$3:$H$173)</f>
        <v>5445.25</v>
      </c>
    </row>
    <row r="32" spans="2:6" ht="15" customHeight="1" x14ac:dyDescent="0.2">
      <c r="B32" s="10" t="s">
        <v>35</v>
      </c>
      <c r="C32" s="9">
        <f>SUMIF('Sales Database'!$B$3:$B$173,B32,'Sales Database'!$H$3:$H$173)</f>
        <v>3024.5</v>
      </c>
    </row>
    <row r="33" spans="2:3" x14ac:dyDescent="0.2">
      <c r="B33" s="13" t="s">
        <v>36</v>
      </c>
      <c r="C33" s="12">
        <f>SUMIF('Sales Database'!$B$3:$B$173,B33,'Sales Database'!$H$3:$H$173)</f>
        <v>2610.5</v>
      </c>
    </row>
    <row r="34" spans="2:3" x14ac:dyDescent="0.2">
      <c r="B34" s="10" t="s">
        <v>37</v>
      </c>
      <c r="C34" s="9">
        <f>SUMIF('Sales Database'!$B$3:$B$173,B34,'Sales Database'!$H$3:$H$173)</f>
        <v>2990</v>
      </c>
    </row>
    <row r="35" spans="2:3" x14ac:dyDescent="0.2">
      <c r="B35" s="13" t="s">
        <v>38</v>
      </c>
      <c r="C35" s="12">
        <f>SUMIF('Sales Database'!$B$3:$B$173,B35,'Sales Database'!$H$3:$H$173)</f>
        <v>1696.25</v>
      </c>
    </row>
  </sheetData>
  <mergeCells count="8">
    <mergeCell ref="B6:C7"/>
    <mergeCell ref="E6:F7"/>
    <mergeCell ref="H6:I7"/>
    <mergeCell ref="B2:K2"/>
    <mergeCell ref="B3:K3"/>
    <mergeCell ref="B5:C5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75" sqref="E175"/>
    </sheetView>
  </sheetViews>
  <sheetFormatPr baseColWidth="10" defaultColWidth="11" defaultRowHeight="16" x14ac:dyDescent="0.2"/>
  <cols>
    <col min="2" max="2" width="8" customWidth="1"/>
    <col min="3" max="3" width="18" customWidth="1"/>
    <col min="5" max="5" width="28" customWidth="1"/>
    <col min="6" max="6" width="13" customWidth="1"/>
    <col min="7" max="7" width="16" customWidth="1"/>
    <col min="8" max="8" width="13" customWidth="1"/>
    <col min="9" max="9" width="15" customWidth="1"/>
  </cols>
  <sheetData>
    <row r="1" spans="2:11" ht="15" customHeight="1" x14ac:dyDescent="0.2"/>
    <row r="2" spans="2:11" ht="27.75" customHeight="1" x14ac:dyDescent="0.2">
      <c r="B2" s="16" t="s">
        <v>26</v>
      </c>
      <c r="C2" s="16" t="s">
        <v>39</v>
      </c>
      <c r="D2" s="16" t="s">
        <v>40</v>
      </c>
      <c r="E2" s="16" t="s">
        <v>7</v>
      </c>
      <c r="F2" s="16" t="s">
        <v>41</v>
      </c>
      <c r="G2" s="16" t="s">
        <v>42</v>
      </c>
      <c r="H2" s="16" t="s">
        <v>43</v>
      </c>
      <c r="I2" s="17" t="s">
        <v>5</v>
      </c>
    </row>
    <row r="3" spans="2:11" ht="15" customHeight="1" x14ac:dyDescent="0.2">
      <c r="B3" s="11" t="s">
        <v>27</v>
      </c>
      <c r="C3" s="18">
        <v>1001</v>
      </c>
      <c r="D3" s="11">
        <v>9822</v>
      </c>
      <c r="E3" s="12" t="s">
        <v>9</v>
      </c>
      <c r="F3" s="12">
        <v>185</v>
      </c>
      <c r="G3" s="12">
        <f t="shared" ref="G3:G34" si="0">IF(F3&gt;100,F3*0.15,F3*0.1)</f>
        <v>27.75</v>
      </c>
      <c r="H3" s="19">
        <f t="shared" ref="H3:H34" si="1">F3+G3</f>
        <v>212.75</v>
      </c>
      <c r="I3" s="20" t="s">
        <v>14</v>
      </c>
    </row>
    <row r="4" spans="2:11" ht="15" customHeight="1" x14ac:dyDescent="0.2">
      <c r="B4" s="8" t="s">
        <v>27</v>
      </c>
      <c r="C4" s="21">
        <v>1002</v>
      </c>
      <c r="D4" s="8">
        <v>2877</v>
      </c>
      <c r="E4" s="9" t="s">
        <v>11</v>
      </c>
      <c r="F4" s="9">
        <v>95</v>
      </c>
      <c r="G4" s="9">
        <f t="shared" si="0"/>
        <v>9.5</v>
      </c>
      <c r="H4" s="22">
        <f t="shared" si="1"/>
        <v>104.5</v>
      </c>
      <c r="I4" s="20" t="s">
        <v>10</v>
      </c>
    </row>
    <row r="5" spans="2:11" ht="15" customHeight="1" x14ac:dyDescent="0.2">
      <c r="B5" s="11" t="s">
        <v>27</v>
      </c>
      <c r="C5" s="18">
        <v>1003</v>
      </c>
      <c r="D5" s="11">
        <v>2499</v>
      </c>
      <c r="E5" s="12" t="s">
        <v>13</v>
      </c>
      <c r="F5" s="12">
        <v>120</v>
      </c>
      <c r="G5" s="12">
        <f t="shared" si="0"/>
        <v>18</v>
      </c>
      <c r="H5" s="19">
        <f t="shared" si="1"/>
        <v>138</v>
      </c>
      <c r="I5" s="20" t="s">
        <v>8</v>
      </c>
    </row>
    <row r="6" spans="2:11" ht="15" customHeight="1" x14ac:dyDescent="0.2">
      <c r="B6" s="8" t="s">
        <v>27</v>
      </c>
      <c r="C6" s="21">
        <v>1004</v>
      </c>
      <c r="D6" s="8">
        <v>8722</v>
      </c>
      <c r="E6" s="9" t="s">
        <v>15</v>
      </c>
      <c r="F6" s="9">
        <v>650</v>
      </c>
      <c r="G6" s="9">
        <f t="shared" si="0"/>
        <v>97.5</v>
      </c>
      <c r="H6" s="22">
        <f t="shared" si="1"/>
        <v>747.5</v>
      </c>
      <c r="I6" s="20" t="s">
        <v>8</v>
      </c>
    </row>
    <row r="7" spans="2:11" ht="15" customHeight="1" x14ac:dyDescent="0.2">
      <c r="B7" s="11" t="s">
        <v>27</v>
      </c>
      <c r="C7" s="18">
        <v>1005</v>
      </c>
      <c r="D7" s="11">
        <v>1109</v>
      </c>
      <c r="E7" s="12" t="s">
        <v>17</v>
      </c>
      <c r="F7" s="12">
        <v>140</v>
      </c>
      <c r="G7" s="12">
        <f t="shared" si="0"/>
        <v>21</v>
      </c>
      <c r="H7" s="19">
        <f t="shared" si="1"/>
        <v>161</v>
      </c>
      <c r="I7" s="20" t="s">
        <v>8</v>
      </c>
    </row>
    <row r="8" spans="2:11" ht="15" customHeight="1" x14ac:dyDescent="0.2">
      <c r="B8" s="8" t="s">
        <v>27</v>
      </c>
      <c r="C8" s="21">
        <v>1006</v>
      </c>
      <c r="D8" s="8">
        <v>9822</v>
      </c>
      <c r="E8" s="9" t="s">
        <v>9</v>
      </c>
      <c r="F8" s="9">
        <v>185</v>
      </c>
      <c r="G8" s="9">
        <f t="shared" si="0"/>
        <v>27.75</v>
      </c>
      <c r="H8" s="22">
        <f t="shared" si="1"/>
        <v>212.75</v>
      </c>
      <c r="I8" s="20" t="s">
        <v>8</v>
      </c>
      <c r="K8" t="s">
        <v>44</v>
      </c>
    </row>
    <row r="9" spans="2:11" ht="15" customHeight="1" x14ac:dyDescent="0.2">
      <c r="B9" s="11" t="s">
        <v>27</v>
      </c>
      <c r="C9" s="18">
        <v>1007</v>
      </c>
      <c r="D9" s="11">
        <v>1109</v>
      </c>
      <c r="E9" s="12" t="s">
        <v>17</v>
      </c>
      <c r="F9" s="12">
        <v>140</v>
      </c>
      <c r="G9" s="12">
        <f t="shared" si="0"/>
        <v>21</v>
      </c>
      <c r="H9" s="19">
        <f t="shared" si="1"/>
        <v>161</v>
      </c>
      <c r="I9" s="20" t="s">
        <v>14</v>
      </c>
      <c r="K9" t="s">
        <v>45</v>
      </c>
    </row>
    <row r="10" spans="2:11" ht="15" customHeight="1" x14ac:dyDescent="0.2">
      <c r="B10" s="8" t="s">
        <v>27</v>
      </c>
      <c r="C10" s="21">
        <v>1008</v>
      </c>
      <c r="D10" s="8">
        <v>2877</v>
      </c>
      <c r="E10" s="9" t="s">
        <v>11</v>
      </c>
      <c r="F10" s="9">
        <v>95</v>
      </c>
      <c r="G10" s="9">
        <f t="shared" si="0"/>
        <v>9.5</v>
      </c>
      <c r="H10" s="22">
        <f t="shared" si="1"/>
        <v>104.5</v>
      </c>
      <c r="I10" s="20" t="s">
        <v>14</v>
      </c>
      <c r="K10" t="s">
        <v>46</v>
      </c>
    </row>
    <row r="11" spans="2:11" ht="15" customHeight="1" x14ac:dyDescent="0.2">
      <c r="B11" s="11" t="s">
        <v>27</v>
      </c>
      <c r="C11" s="18">
        <v>1009</v>
      </c>
      <c r="D11" s="11">
        <v>1109</v>
      </c>
      <c r="E11" s="12" t="s">
        <v>17</v>
      </c>
      <c r="F11" s="12">
        <v>140</v>
      </c>
      <c r="G11" s="12">
        <f t="shared" si="0"/>
        <v>21</v>
      </c>
      <c r="H11" s="19">
        <f t="shared" si="1"/>
        <v>161</v>
      </c>
      <c r="I11" s="20" t="s">
        <v>8</v>
      </c>
      <c r="K11" t="s">
        <v>47</v>
      </c>
    </row>
    <row r="12" spans="2:11" ht="15" customHeight="1" x14ac:dyDescent="0.2">
      <c r="B12" s="8" t="s">
        <v>27</v>
      </c>
      <c r="C12" s="21">
        <v>1010</v>
      </c>
      <c r="D12" s="8">
        <v>2877</v>
      </c>
      <c r="E12" s="9" t="s">
        <v>11</v>
      </c>
      <c r="F12" s="9">
        <v>95</v>
      </c>
      <c r="G12" s="9">
        <f t="shared" si="0"/>
        <v>9.5</v>
      </c>
      <c r="H12" s="22">
        <f t="shared" si="1"/>
        <v>104.5</v>
      </c>
      <c r="I12" s="20" t="s">
        <v>12</v>
      </c>
      <c r="K12" t="s">
        <v>48</v>
      </c>
    </row>
    <row r="13" spans="2:11" ht="15" customHeight="1" x14ac:dyDescent="0.2">
      <c r="B13" s="11" t="s">
        <v>27</v>
      </c>
      <c r="C13" s="18">
        <v>1011</v>
      </c>
      <c r="D13" s="11">
        <v>2877</v>
      </c>
      <c r="E13" s="12" t="s">
        <v>11</v>
      </c>
      <c r="F13" s="12">
        <v>95</v>
      </c>
      <c r="G13" s="12">
        <f t="shared" si="0"/>
        <v>9.5</v>
      </c>
      <c r="H13" s="19">
        <f t="shared" si="1"/>
        <v>104.5</v>
      </c>
      <c r="I13" s="20" t="s">
        <v>8</v>
      </c>
      <c r="K13" t="s">
        <v>49</v>
      </c>
    </row>
    <row r="14" spans="2:11" ht="15" customHeight="1" x14ac:dyDescent="0.2">
      <c r="B14" s="8" t="s">
        <v>27</v>
      </c>
      <c r="C14" s="21">
        <v>1012</v>
      </c>
      <c r="D14" s="8">
        <v>4421</v>
      </c>
      <c r="E14" s="9" t="s">
        <v>19</v>
      </c>
      <c r="F14" s="9">
        <v>165</v>
      </c>
      <c r="G14" s="9">
        <f t="shared" si="0"/>
        <v>24.75</v>
      </c>
      <c r="H14" s="22">
        <f t="shared" si="1"/>
        <v>189.75</v>
      </c>
      <c r="I14" s="20" t="s">
        <v>14</v>
      </c>
    </row>
    <row r="15" spans="2:11" ht="15" customHeight="1" x14ac:dyDescent="0.2">
      <c r="B15" s="11" t="s">
        <v>27</v>
      </c>
      <c r="C15" s="18">
        <v>1013</v>
      </c>
      <c r="D15" s="11">
        <v>9212</v>
      </c>
      <c r="E15" s="12" t="s">
        <v>21</v>
      </c>
      <c r="F15" s="12">
        <v>175</v>
      </c>
      <c r="G15" s="12">
        <f t="shared" si="0"/>
        <v>26.25</v>
      </c>
      <c r="H15" s="19">
        <f t="shared" si="1"/>
        <v>201.25</v>
      </c>
      <c r="I15" s="20" t="s">
        <v>12</v>
      </c>
    </row>
    <row r="16" spans="2:11" ht="15" customHeight="1" x14ac:dyDescent="0.2">
      <c r="B16" s="8" t="s">
        <v>27</v>
      </c>
      <c r="C16" s="21">
        <v>1014</v>
      </c>
      <c r="D16" s="8">
        <v>8722</v>
      </c>
      <c r="E16" s="9" t="s">
        <v>15</v>
      </c>
      <c r="F16" s="9">
        <v>650</v>
      </c>
      <c r="G16" s="9">
        <f t="shared" si="0"/>
        <v>97.5</v>
      </c>
      <c r="H16" s="22">
        <f t="shared" si="1"/>
        <v>747.5</v>
      </c>
      <c r="I16" s="20" t="s">
        <v>10</v>
      </c>
    </row>
    <row r="17" spans="2:9" ht="15" customHeight="1" x14ac:dyDescent="0.2">
      <c r="B17" s="11" t="s">
        <v>27</v>
      </c>
      <c r="C17" s="18">
        <v>1015</v>
      </c>
      <c r="D17" s="11">
        <v>2877</v>
      </c>
      <c r="E17" s="12" t="s">
        <v>11</v>
      </c>
      <c r="F17" s="12">
        <v>95</v>
      </c>
      <c r="G17" s="12">
        <f t="shared" si="0"/>
        <v>9.5</v>
      </c>
      <c r="H17" s="19">
        <f t="shared" si="1"/>
        <v>104.5</v>
      </c>
      <c r="I17" s="20" t="s">
        <v>8</v>
      </c>
    </row>
    <row r="18" spans="2:9" ht="15" customHeight="1" x14ac:dyDescent="0.2">
      <c r="B18" s="8" t="s">
        <v>27</v>
      </c>
      <c r="C18" s="21">
        <v>1016</v>
      </c>
      <c r="D18" s="8">
        <v>2499</v>
      </c>
      <c r="E18" s="9" t="s">
        <v>13</v>
      </c>
      <c r="F18" s="9">
        <v>120</v>
      </c>
      <c r="G18" s="9">
        <f t="shared" si="0"/>
        <v>18</v>
      </c>
      <c r="H18" s="22">
        <f t="shared" si="1"/>
        <v>138</v>
      </c>
      <c r="I18" s="20" t="s">
        <v>10</v>
      </c>
    </row>
    <row r="19" spans="2:9" ht="15" customHeight="1" x14ac:dyDescent="0.2">
      <c r="B19" s="11" t="s">
        <v>28</v>
      </c>
      <c r="C19" s="18">
        <v>1017</v>
      </c>
      <c r="D19" s="11">
        <v>2242</v>
      </c>
      <c r="E19" s="12" t="s">
        <v>24</v>
      </c>
      <c r="F19" s="12">
        <v>310</v>
      </c>
      <c r="G19" s="12">
        <f t="shared" si="0"/>
        <v>46.5</v>
      </c>
      <c r="H19" s="19">
        <f t="shared" si="1"/>
        <v>356.5</v>
      </c>
      <c r="I19" s="20" t="s">
        <v>14</v>
      </c>
    </row>
    <row r="20" spans="2:9" ht="15" customHeight="1" x14ac:dyDescent="0.2">
      <c r="B20" s="8" t="s">
        <v>28</v>
      </c>
      <c r="C20" s="21">
        <v>1018</v>
      </c>
      <c r="D20" s="8">
        <v>1109</v>
      </c>
      <c r="E20" s="9" t="s">
        <v>17</v>
      </c>
      <c r="F20" s="9">
        <v>140</v>
      </c>
      <c r="G20" s="9">
        <f t="shared" si="0"/>
        <v>21</v>
      </c>
      <c r="H20" s="22">
        <f t="shared" si="1"/>
        <v>161</v>
      </c>
      <c r="I20" s="20" t="s">
        <v>10</v>
      </c>
    </row>
    <row r="21" spans="2:9" ht="15" customHeight="1" x14ac:dyDescent="0.2">
      <c r="B21" s="11" t="s">
        <v>28</v>
      </c>
      <c r="C21" s="18">
        <v>1019</v>
      </c>
      <c r="D21" s="11">
        <v>2499</v>
      </c>
      <c r="E21" s="12" t="s">
        <v>13</v>
      </c>
      <c r="F21" s="12">
        <v>120</v>
      </c>
      <c r="G21" s="12">
        <f t="shared" si="0"/>
        <v>18</v>
      </c>
      <c r="H21" s="19">
        <f t="shared" si="1"/>
        <v>138</v>
      </c>
      <c r="I21" s="20" t="s">
        <v>12</v>
      </c>
    </row>
    <row r="22" spans="2:9" ht="15" customHeight="1" x14ac:dyDescent="0.2">
      <c r="B22" s="8" t="s">
        <v>28</v>
      </c>
      <c r="C22" s="21">
        <v>1020</v>
      </c>
      <c r="D22" s="8">
        <v>2499</v>
      </c>
      <c r="E22" s="9" t="s">
        <v>13</v>
      </c>
      <c r="F22" s="9">
        <v>120</v>
      </c>
      <c r="G22" s="9">
        <f t="shared" si="0"/>
        <v>18</v>
      </c>
      <c r="H22" s="22">
        <f t="shared" si="1"/>
        <v>138</v>
      </c>
      <c r="I22" s="20" t="s">
        <v>16</v>
      </c>
    </row>
    <row r="23" spans="2:9" ht="15" customHeight="1" x14ac:dyDescent="0.2">
      <c r="B23" s="11" t="s">
        <v>28</v>
      </c>
      <c r="C23" s="18">
        <v>1021</v>
      </c>
      <c r="D23" s="11">
        <v>1109</v>
      </c>
      <c r="E23" s="12" t="s">
        <v>17</v>
      </c>
      <c r="F23" s="12">
        <v>140</v>
      </c>
      <c r="G23" s="12">
        <f t="shared" si="0"/>
        <v>21</v>
      </c>
      <c r="H23" s="19">
        <f t="shared" si="1"/>
        <v>161</v>
      </c>
      <c r="I23" s="20" t="s">
        <v>12</v>
      </c>
    </row>
    <row r="24" spans="2:9" ht="15" customHeight="1" x14ac:dyDescent="0.2">
      <c r="B24" s="8" t="s">
        <v>28</v>
      </c>
      <c r="C24" s="21">
        <v>1022</v>
      </c>
      <c r="D24" s="8">
        <v>2877</v>
      </c>
      <c r="E24" s="9" t="s">
        <v>11</v>
      </c>
      <c r="F24" s="9">
        <v>95</v>
      </c>
      <c r="G24" s="9">
        <f t="shared" si="0"/>
        <v>9.5</v>
      </c>
      <c r="H24" s="22">
        <f t="shared" si="1"/>
        <v>104.5</v>
      </c>
      <c r="I24" s="20" t="s">
        <v>18</v>
      </c>
    </row>
    <row r="25" spans="2:9" ht="15" customHeight="1" x14ac:dyDescent="0.2">
      <c r="B25" s="11" t="s">
        <v>28</v>
      </c>
      <c r="C25" s="18">
        <v>1023</v>
      </c>
      <c r="D25" s="11">
        <v>1109</v>
      </c>
      <c r="E25" s="12" t="s">
        <v>17</v>
      </c>
      <c r="F25" s="12">
        <v>140</v>
      </c>
      <c r="G25" s="12">
        <f t="shared" si="0"/>
        <v>21</v>
      </c>
      <c r="H25" s="19">
        <f t="shared" si="1"/>
        <v>161</v>
      </c>
      <c r="I25" s="20" t="s">
        <v>14</v>
      </c>
    </row>
    <row r="26" spans="2:9" ht="15" customHeight="1" x14ac:dyDescent="0.2">
      <c r="B26" s="8" t="s">
        <v>28</v>
      </c>
      <c r="C26" s="21">
        <v>1024</v>
      </c>
      <c r="D26" s="8">
        <v>9212</v>
      </c>
      <c r="E26" s="9" t="s">
        <v>21</v>
      </c>
      <c r="F26" s="9">
        <v>175</v>
      </c>
      <c r="G26" s="9">
        <f t="shared" si="0"/>
        <v>26.25</v>
      </c>
      <c r="H26" s="22">
        <f t="shared" si="1"/>
        <v>201.25</v>
      </c>
      <c r="I26" s="20" t="s">
        <v>18</v>
      </c>
    </row>
    <row r="27" spans="2:9" ht="15" customHeight="1" x14ac:dyDescent="0.2">
      <c r="B27" s="11" t="s">
        <v>28</v>
      </c>
      <c r="C27" s="18">
        <v>1025</v>
      </c>
      <c r="D27" s="11">
        <v>2877</v>
      </c>
      <c r="E27" s="12" t="s">
        <v>11</v>
      </c>
      <c r="F27" s="12">
        <v>95</v>
      </c>
      <c r="G27" s="12">
        <f t="shared" si="0"/>
        <v>9.5</v>
      </c>
      <c r="H27" s="19">
        <f t="shared" si="1"/>
        <v>104.5</v>
      </c>
      <c r="I27" s="20" t="s">
        <v>16</v>
      </c>
    </row>
    <row r="28" spans="2:9" ht="15" customHeight="1" x14ac:dyDescent="0.2">
      <c r="B28" s="8" t="s">
        <v>28</v>
      </c>
      <c r="C28" s="21">
        <v>1026</v>
      </c>
      <c r="D28" s="8">
        <v>6119</v>
      </c>
      <c r="E28" s="9" t="s">
        <v>22</v>
      </c>
      <c r="F28" s="9">
        <v>210</v>
      </c>
      <c r="G28" s="9">
        <f t="shared" si="0"/>
        <v>31.5</v>
      </c>
      <c r="H28" s="22">
        <f t="shared" si="1"/>
        <v>241.5</v>
      </c>
      <c r="I28" s="20" t="s">
        <v>14</v>
      </c>
    </row>
    <row r="29" spans="2:9" ht="15" customHeight="1" x14ac:dyDescent="0.2">
      <c r="B29" s="11" t="s">
        <v>28</v>
      </c>
      <c r="C29" s="18">
        <v>1027</v>
      </c>
      <c r="D29" s="11">
        <v>6119</v>
      </c>
      <c r="E29" s="12" t="s">
        <v>22</v>
      </c>
      <c r="F29" s="12">
        <v>210</v>
      </c>
      <c r="G29" s="12">
        <f t="shared" si="0"/>
        <v>31.5</v>
      </c>
      <c r="H29" s="19">
        <f t="shared" si="1"/>
        <v>241.5</v>
      </c>
      <c r="I29" s="20" t="s">
        <v>16</v>
      </c>
    </row>
    <row r="30" spans="2:9" ht="15" customHeight="1" x14ac:dyDescent="0.2">
      <c r="B30" s="8" t="s">
        <v>28</v>
      </c>
      <c r="C30" s="21">
        <v>1028</v>
      </c>
      <c r="D30" s="8">
        <v>8722</v>
      </c>
      <c r="E30" s="9" t="s">
        <v>15</v>
      </c>
      <c r="F30" s="9">
        <v>650</v>
      </c>
      <c r="G30" s="9">
        <f t="shared" si="0"/>
        <v>97.5</v>
      </c>
      <c r="H30" s="22">
        <f t="shared" si="1"/>
        <v>747.5</v>
      </c>
      <c r="I30" s="20" t="s">
        <v>8</v>
      </c>
    </row>
    <row r="31" spans="2:9" ht="15" customHeight="1" x14ac:dyDescent="0.2">
      <c r="B31" s="11" t="s">
        <v>28</v>
      </c>
      <c r="C31" s="18">
        <v>1029</v>
      </c>
      <c r="D31" s="11">
        <v>2499</v>
      </c>
      <c r="E31" s="12" t="s">
        <v>13</v>
      </c>
      <c r="F31" s="12">
        <v>120</v>
      </c>
      <c r="G31" s="12">
        <f t="shared" si="0"/>
        <v>18</v>
      </c>
      <c r="H31" s="19">
        <f t="shared" si="1"/>
        <v>138</v>
      </c>
      <c r="I31" s="20" t="s">
        <v>8</v>
      </c>
    </row>
    <row r="32" spans="2:9" ht="15" customHeight="1" x14ac:dyDescent="0.2">
      <c r="B32" s="8" t="s">
        <v>28</v>
      </c>
      <c r="C32" s="21">
        <v>1030</v>
      </c>
      <c r="D32" s="8">
        <v>4421</v>
      </c>
      <c r="E32" s="9" t="s">
        <v>19</v>
      </c>
      <c r="F32" s="9">
        <v>165</v>
      </c>
      <c r="G32" s="9">
        <f t="shared" si="0"/>
        <v>24.75</v>
      </c>
      <c r="H32" s="22">
        <f t="shared" si="1"/>
        <v>189.75</v>
      </c>
      <c r="I32" s="20" t="s">
        <v>16</v>
      </c>
    </row>
    <row r="33" spans="2:9" ht="15" customHeight="1" x14ac:dyDescent="0.2">
      <c r="B33" s="11" t="s">
        <v>28</v>
      </c>
      <c r="C33" s="18">
        <v>1031</v>
      </c>
      <c r="D33" s="11">
        <v>1109</v>
      </c>
      <c r="E33" s="12" t="s">
        <v>17</v>
      </c>
      <c r="F33" s="12">
        <v>140</v>
      </c>
      <c r="G33" s="12">
        <f t="shared" si="0"/>
        <v>21</v>
      </c>
      <c r="H33" s="19">
        <f t="shared" si="1"/>
        <v>161</v>
      </c>
      <c r="I33" s="20" t="s">
        <v>10</v>
      </c>
    </row>
    <row r="34" spans="2:9" ht="15" customHeight="1" x14ac:dyDescent="0.2">
      <c r="B34" s="8" t="s">
        <v>28</v>
      </c>
      <c r="C34" s="21">
        <v>1032</v>
      </c>
      <c r="D34" s="8">
        <v>2877</v>
      </c>
      <c r="E34" s="9" t="s">
        <v>11</v>
      </c>
      <c r="F34" s="9">
        <v>95</v>
      </c>
      <c r="G34" s="9">
        <f t="shared" si="0"/>
        <v>9.5</v>
      </c>
      <c r="H34" s="22">
        <f t="shared" si="1"/>
        <v>104.5</v>
      </c>
      <c r="I34" s="20" t="s">
        <v>8</v>
      </c>
    </row>
    <row r="35" spans="2:9" ht="15" customHeight="1" x14ac:dyDescent="0.2">
      <c r="B35" s="11" t="s">
        <v>28</v>
      </c>
      <c r="C35" s="18">
        <v>1033</v>
      </c>
      <c r="D35" s="11">
        <v>9822</v>
      </c>
      <c r="E35" s="12" t="s">
        <v>9</v>
      </c>
      <c r="F35" s="12">
        <v>185</v>
      </c>
      <c r="G35" s="12">
        <f t="shared" ref="G35:G66" si="2">IF(F35&gt;100,F35*0.15,F35*0.1)</f>
        <v>27.75</v>
      </c>
      <c r="H35" s="19">
        <f t="shared" ref="H35:H66" si="3">F35+G35</f>
        <v>212.75</v>
      </c>
      <c r="I35" s="20" t="s">
        <v>10</v>
      </c>
    </row>
    <row r="36" spans="2:9" ht="15" customHeight="1" x14ac:dyDescent="0.2">
      <c r="B36" s="8" t="s">
        <v>28</v>
      </c>
      <c r="C36" s="21">
        <v>1034</v>
      </c>
      <c r="D36" s="8">
        <v>2877</v>
      </c>
      <c r="E36" s="9" t="s">
        <v>11</v>
      </c>
      <c r="F36" s="9">
        <v>95</v>
      </c>
      <c r="G36" s="9">
        <f t="shared" si="2"/>
        <v>9.5</v>
      </c>
      <c r="H36" s="22">
        <f t="shared" si="3"/>
        <v>104.5</v>
      </c>
      <c r="I36" s="20" t="s">
        <v>12</v>
      </c>
    </row>
    <row r="37" spans="2:9" ht="15" customHeight="1" x14ac:dyDescent="0.2">
      <c r="B37" s="11" t="s">
        <v>29</v>
      </c>
      <c r="C37" s="18">
        <v>1035</v>
      </c>
      <c r="D37" s="11">
        <v>2499</v>
      </c>
      <c r="E37" s="12" t="s">
        <v>13</v>
      </c>
      <c r="F37" s="12">
        <v>120</v>
      </c>
      <c r="G37" s="12">
        <f t="shared" si="2"/>
        <v>18</v>
      </c>
      <c r="H37" s="19">
        <f t="shared" si="3"/>
        <v>138</v>
      </c>
      <c r="I37" s="20" t="s">
        <v>10</v>
      </c>
    </row>
    <row r="38" spans="2:9" ht="15" customHeight="1" x14ac:dyDescent="0.2">
      <c r="B38" s="8" t="s">
        <v>29</v>
      </c>
      <c r="C38" s="21">
        <v>1036</v>
      </c>
      <c r="D38" s="8">
        <v>2499</v>
      </c>
      <c r="E38" s="9" t="s">
        <v>13</v>
      </c>
      <c r="F38" s="9">
        <v>120</v>
      </c>
      <c r="G38" s="9">
        <f t="shared" si="2"/>
        <v>18</v>
      </c>
      <c r="H38" s="22">
        <f t="shared" si="3"/>
        <v>138</v>
      </c>
      <c r="I38" s="20" t="s">
        <v>16</v>
      </c>
    </row>
    <row r="39" spans="2:9" ht="15" customHeight="1" x14ac:dyDescent="0.2">
      <c r="B39" s="11" t="s">
        <v>29</v>
      </c>
      <c r="C39" s="18">
        <v>1037</v>
      </c>
      <c r="D39" s="11">
        <v>6622</v>
      </c>
      <c r="E39" s="12" t="s">
        <v>23</v>
      </c>
      <c r="F39" s="12">
        <v>230</v>
      </c>
      <c r="G39" s="12">
        <f t="shared" si="2"/>
        <v>34.5</v>
      </c>
      <c r="H39" s="19">
        <f t="shared" si="3"/>
        <v>264.5</v>
      </c>
      <c r="I39" s="20" t="s">
        <v>16</v>
      </c>
    </row>
    <row r="40" spans="2:9" ht="15" customHeight="1" x14ac:dyDescent="0.2">
      <c r="B40" s="8" t="s">
        <v>29</v>
      </c>
      <c r="C40" s="21">
        <v>1038</v>
      </c>
      <c r="D40" s="8">
        <v>2499</v>
      </c>
      <c r="E40" s="9" t="s">
        <v>13</v>
      </c>
      <c r="F40" s="9">
        <v>120</v>
      </c>
      <c r="G40" s="9">
        <f t="shared" si="2"/>
        <v>18</v>
      </c>
      <c r="H40" s="22">
        <f t="shared" si="3"/>
        <v>138</v>
      </c>
      <c r="I40" s="20" t="s">
        <v>16</v>
      </c>
    </row>
    <row r="41" spans="2:9" ht="15" customHeight="1" x14ac:dyDescent="0.2">
      <c r="B41" s="11" t="s">
        <v>29</v>
      </c>
      <c r="C41" s="18">
        <v>1039</v>
      </c>
      <c r="D41" s="11">
        <v>2877</v>
      </c>
      <c r="E41" s="12" t="s">
        <v>11</v>
      </c>
      <c r="F41" s="12">
        <v>95</v>
      </c>
      <c r="G41" s="12">
        <f t="shared" si="2"/>
        <v>9.5</v>
      </c>
      <c r="H41" s="19">
        <f t="shared" si="3"/>
        <v>104.5</v>
      </c>
      <c r="I41" s="20" t="s">
        <v>10</v>
      </c>
    </row>
    <row r="42" spans="2:9" ht="15" customHeight="1" x14ac:dyDescent="0.2">
      <c r="B42" s="8" t="s">
        <v>29</v>
      </c>
      <c r="C42" s="21">
        <v>1040</v>
      </c>
      <c r="D42" s="8">
        <v>1109</v>
      </c>
      <c r="E42" s="9" t="s">
        <v>17</v>
      </c>
      <c r="F42" s="9">
        <v>140</v>
      </c>
      <c r="G42" s="9">
        <f t="shared" si="2"/>
        <v>21</v>
      </c>
      <c r="H42" s="22">
        <f t="shared" si="3"/>
        <v>161</v>
      </c>
      <c r="I42" s="20" t="s">
        <v>8</v>
      </c>
    </row>
    <row r="43" spans="2:9" ht="15" customHeight="1" x14ac:dyDescent="0.2">
      <c r="B43" s="11" t="s">
        <v>29</v>
      </c>
      <c r="C43" s="18">
        <v>1041</v>
      </c>
      <c r="D43" s="11">
        <v>2499</v>
      </c>
      <c r="E43" s="12" t="s">
        <v>13</v>
      </c>
      <c r="F43" s="12">
        <v>120</v>
      </c>
      <c r="G43" s="12">
        <f t="shared" si="2"/>
        <v>18</v>
      </c>
      <c r="H43" s="19">
        <f t="shared" si="3"/>
        <v>138</v>
      </c>
      <c r="I43" s="20" t="s">
        <v>14</v>
      </c>
    </row>
    <row r="44" spans="2:9" ht="15" customHeight="1" x14ac:dyDescent="0.2">
      <c r="B44" s="8" t="s">
        <v>29</v>
      </c>
      <c r="C44" s="21">
        <v>1042</v>
      </c>
      <c r="D44" s="8">
        <v>8722</v>
      </c>
      <c r="E44" s="9" t="s">
        <v>15</v>
      </c>
      <c r="F44" s="9">
        <v>650</v>
      </c>
      <c r="G44" s="9">
        <f t="shared" si="2"/>
        <v>97.5</v>
      </c>
      <c r="H44" s="22">
        <f t="shared" si="3"/>
        <v>747.5</v>
      </c>
      <c r="I44" s="20" t="s">
        <v>14</v>
      </c>
    </row>
    <row r="45" spans="2:9" ht="15" customHeight="1" x14ac:dyDescent="0.2">
      <c r="B45" s="11" t="s">
        <v>29</v>
      </c>
      <c r="C45" s="18">
        <v>1043</v>
      </c>
      <c r="D45" s="11">
        <v>2242</v>
      </c>
      <c r="E45" s="12" t="s">
        <v>24</v>
      </c>
      <c r="F45" s="12">
        <v>310</v>
      </c>
      <c r="G45" s="12">
        <f t="shared" si="2"/>
        <v>46.5</v>
      </c>
      <c r="H45" s="19">
        <f t="shared" si="3"/>
        <v>356.5</v>
      </c>
      <c r="I45" s="20" t="s">
        <v>10</v>
      </c>
    </row>
    <row r="46" spans="2:9" ht="15" customHeight="1" x14ac:dyDescent="0.2">
      <c r="B46" s="8" t="s">
        <v>29</v>
      </c>
      <c r="C46" s="21">
        <v>1044</v>
      </c>
      <c r="D46" s="8">
        <v>2877</v>
      </c>
      <c r="E46" s="9" t="s">
        <v>11</v>
      </c>
      <c r="F46" s="9">
        <v>95</v>
      </c>
      <c r="G46" s="9">
        <f t="shared" si="2"/>
        <v>9.5</v>
      </c>
      <c r="H46" s="22">
        <f t="shared" si="3"/>
        <v>104.5</v>
      </c>
      <c r="I46" s="20" t="s">
        <v>10</v>
      </c>
    </row>
    <row r="47" spans="2:9" ht="15" customHeight="1" x14ac:dyDescent="0.2">
      <c r="B47" s="11" t="s">
        <v>29</v>
      </c>
      <c r="C47" s="18">
        <v>1045</v>
      </c>
      <c r="D47" s="11">
        <v>8722</v>
      </c>
      <c r="E47" s="12" t="s">
        <v>15</v>
      </c>
      <c r="F47" s="12">
        <v>650</v>
      </c>
      <c r="G47" s="12">
        <f t="shared" si="2"/>
        <v>97.5</v>
      </c>
      <c r="H47" s="19">
        <f t="shared" si="3"/>
        <v>747.5</v>
      </c>
      <c r="I47" s="20" t="s">
        <v>8</v>
      </c>
    </row>
    <row r="48" spans="2:9" ht="15" customHeight="1" x14ac:dyDescent="0.2">
      <c r="B48" s="8" t="s">
        <v>29</v>
      </c>
      <c r="C48" s="21">
        <v>1046</v>
      </c>
      <c r="D48" s="8">
        <v>6119</v>
      </c>
      <c r="E48" s="9" t="s">
        <v>22</v>
      </c>
      <c r="F48" s="9">
        <v>210</v>
      </c>
      <c r="G48" s="9">
        <f t="shared" si="2"/>
        <v>31.5</v>
      </c>
      <c r="H48" s="22">
        <f t="shared" si="3"/>
        <v>241.5</v>
      </c>
      <c r="I48" s="20" t="s">
        <v>18</v>
      </c>
    </row>
    <row r="49" spans="2:9" ht="15" customHeight="1" x14ac:dyDescent="0.2">
      <c r="B49" s="11" t="s">
        <v>29</v>
      </c>
      <c r="C49" s="18">
        <v>1047</v>
      </c>
      <c r="D49" s="11">
        <v>6622</v>
      </c>
      <c r="E49" s="12" t="s">
        <v>23</v>
      </c>
      <c r="F49" s="12">
        <v>230</v>
      </c>
      <c r="G49" s="12">
        <f t="shared" si="2"/>
        <v>34.5</v>
      </c>
      <c r="H49" s="19">
        <f t="shared" si="3"/>
        <v>264.5</v>
      </c>
      <c r="I49" s="20" t="s">
        <v>8</v>
      </c>
    </row>
    <row r="50" spans="2:9" ht="15" customHeight="1" x14ac:dyDescent="0.2">
      <c r="B50" s="8" t="s">
        <v>29</v>
      </c>
      <c r="C50" s="21">
        <v>1048</v>
      </c>
      <c r="D50" s="8">
        <v>8722</v>
      </c>
      <c r="E50" s="9" t="s">
        <v>15</v>
      </c>
      <c r="F50" s="9">
        <v>650</v>
      </c>
      <c r="G50" s="9">
        <f t="shared" si="2"/>
        <v>97.5</v>
      </c>
      <c r="H50" s="22">
        <f t="shared" si="3"/>
        <v>747.5</v>
      </c>
      <c r="I50" s="20" t="s">
        <v>8</v>
      </c>
    </row>
    <row r="51" spans="2:9" ht="15" customHeight="1" x14ac:dyDescent="0.2">
      <c r="B51" s="11" t="s">
        <v>30</v>
      </c>
      <c r="C51" s="18">
        <v>1049</v>
      </c>
      <c r="D51" s="11">
        <v>2499</v>
      </c>
      <c r="E51" s="12" t="s">
        <v>13</v>
      </c>
      <c r="F51" s="12">
        <v>120</v>
      </c>
      <c r="G51" s="12">
        <f t="shared" si="2"/>
        <v>18</v>
      </c>
      <c r="H51" s="19">
        <f t="shared" si="3"/>
        <v>138</v>
      </c>
      <c r="I51" s="20" t="s">
        <v>12</v>
      </c>
    </row>
    <row r="52" spans="2:9" ht="15" customHeight="1" x14ac:dyDescent="0.2">
      <c r="B52" s="8" t="s">
        <v>30</v>
      </c>
      <c r="C52" s="21">
        <v>1050</v>
      </c>
      <c r="D52" s="8">
        <v>2877</v>
      </c>
      <c r="E52" s="9" t="s">
        <v>11</v>
      </c>
      <c r="F52" s="9">
        <v>95</v>
      </c>
      <c r="G52" s="9">
        <f t="shared" si="2"/>
        <v>9.5</v>
      </c>
      <c r="H52" s="22">
        <f t="shared" si="3"/>
        <v>104.5</v>
      </c>
      <c r="I52" s="20" t="s">
        <v>8</v>
      </c>
    </row>
    <row r="53" spans="2:9" ht="15" customHeight="1" x14ac:dyDescent="0.2">
      <c r="B53" s="11" t="s">
        <v>30</v>
      </c>
      <c r="C53" s="18">
        <v>1051</v>
      </c>
      <c r="D53" s="11">
        <v>6119</v>
      </c>
      <c r="E53" s="12" t="s">
        <v>22</v>
      </c>
      <c r="F53" s="12">
        <v>210</v>
      </c>
      <c r="G53" s="12">
        <f t="shared" si="2"/>
        <v>31.5</v>
      </c>
      <c r="H53" s="19">
        <f t="shared" si="3"/>
        <v>241.5</v>
      </c>
      <c r="I53" s="20" t="s">
        <v>18</v>
      </c>
    </row>
    <row r="54" spans="2:9" ht="15" customHeight="1" x14ac:dyDescent="0.2">
      <c r="B54" s="8" t="s">
        <v>30</v>
      </c>
      <c r="C54" s="21">
        <v>1052</v>
      </c>
      <c r="D54" s="8">
        <v>6622</v>
      </c>
      <c r="E54" s="9" t="s">
        <v>23</v>
      </c>
      <c r="F54" s="9">
        <v>230</v>
      </c>
      <c r="G54" s="9">
        <f t="shared" si="2"/>
        <v>34.5</v>
      </c>
      <c r="H54" s="22">
        <f t="shared" si="3"/>
        <v>264.5</v>
      </c>
      <c r="I54" s="20" t="s">
        <v>8</v>
      </c>
    </row>
    <row r="55" spans="2:9" ht="15" customHeight="1" x14ac:dyDescent="0.2">
      <c r="B55" s="11" t="s">
        <v>30</v>
      </c>
      <c r="C55" s="18">
        <v>1053</v>
      </c>
      <c r="D55" s="11">
        <v>2242</v>
      </c>
      <c r="E55" s="12" t="s">
        <v>24</v>
      </c>
      <c r="F55" s="12">
        <v>310</v>
      </c>
      <c r="G55" s="12">
        <f t="shared" si="2"/>
        <v>46.5</v>
      </c>
      <c r="H55" s="19">
        <f t="shared" si="3"/>
        <v>356.5</v>
      </c>
      <c r="I55" s="20" t="s">
        <v>10</v>
      </c>
    </row>
    <row r="56" spans="2:9" ht="15" customHeight="1" x14ac:dyDescent="0.2">
      <c r="B56" s="8" t="s">
        <v>30</v>
      </c>
      <c r="C56" s="21">
        <v>1054</v>
      </c>
      <c r="D56" s="8">
        <v>4421</v>
      </c>
      <c r="E56" s="9" t="s">
        <v>19</v>
      </c>
      <c r="F56" s="9">
        <v>165</v>
      </c>
      <c r="G56" s="9">
        <f t="shared" si="2"/>
        <v>24.75</v>
      </c>
      <c r="H56" s="22">
        <f t="shared" si="3"/>
        <v>189.75</v>
      </c>
      <c r="I56" s="20" t="s">
        <v>16</v>
      </c>
    </row>
    <row r="57" spans="2:9" ht="15" customHeight="1" x14ac:dyDescent="0.2">
      <c r="B57" s="11" t="s">
        <v>30</v>
      </c>
      <c r="C57" s="18">
        <v>1055</v>
      </c>
      <c r="D57" s="11">
        <v>6119</v>
      </c>
      <c r="E57" s="12" t="s">
        <v>22</v>
      </c>
      <c r="F57" s="12">
        <v>210</v>
      </c>
      <c r="G57" s="12">
        <f t="shared" si="2"/>
        <v>31.5</v>
      </c>
      <c r="H57" s="19">
        <f t="shared" si="3"/>
        <v>241.5</v>
      </c>
      <c r="I57" s="20" t="s">
        <v>16</v>
      </c>
    </row>
    <row r="58" spans="2:9" ht="15" customHeight="1" x14ac:dyDescent="0.2">
      <c r="B58" s="8" t="s">
        <v>30</v>
      </c>
      <c r="C58" s="21">
        <v>1056</v>
      </c>
      <c r="D58" s="8">
        <v>1109</v>
      </c>
      <c r="E58" s="9" t="s">
        <v>17</v>
      </c>
      <c r="F58" s="9">
        <v>140</v>
      </c>
      <c r="G58" s="9">
        <f t="shared" si="2"/>
        <v>21</v>
      </c>
      <c r="H58" s="22">
        <f t="shared" si="3"/>
        <v>161</v>
      </c>
      <c r="I58" s="20" t="s">
        <v>10</v>
      </c>
    </row>
    <row r="59" spans="2:9" ht="15" customHeight="1" x14ac:dyDescent="0.2">
      <c r="B59" s="11" t="s">
        <v>30</v>
      </c>
      <c r="C59" s="18">
        <v>1057</v>
      </c>
      <c r="D59" s="11">
        <v>2499</v>
      </c>
      <c r="E59" s="12" t="s">
        <v>13</v>
      </c>
      <c r="F59" s="12">
        <v>120</v>
      </c>
      <c r="G59" s="12">
        <f t="shared" si="2"/>
        <v>18</v>
      </c>
      <c r="H59" s="19">
        <f t="shared" si="3"/>
        <v>138</v>
      </c>
      <c r="I59" s="20" t="s">
        <v>10</v>
      </c>
    </row>
    <row r="60" spans="2:9" ht="15" customHeight="1" x14ac:dyDescent="0.2">
      <c r="B60" s="8" t="s">
        <v>30</v>
      </c>
      <c r="C60" s="21">
        <v>1058</v>
      </c>
      <c r="D60" s="8">
        <v>6119</v>
      </c>
      <c r="E60" s="9" t="s">
        <v>22</v>
      </c>
      <c r="F60" s="9">
        <v>210</v>
      </c>
      <c r="G60" s="9">
        <f t="shared" si="2"/>
        <v>31.5</v>
      </c>
      <c r="H60" s="22">
        <f t="shared" si="3"/>
        <v>241.5</v>
      </c>
      <c r="I60" s="20" t="s">
        <v>8</v>
      </c>
    </row>
    <row r="61" spans="2:9" ht="15" customHeight="1" x14ac:dyDescent="0.2">
      <c r="B61" s="11" t="s">
        <v>30</v>
      </c>
      <c r="C61" s="18">
        <v>1059</v>
      </c>
      <c r="D61" s="11">
        <v>2242</v>
      </c>
      <c r="E61" s="12" t="s">
        <v>24</v>
      </c>
      <c r="F61" s="12">
        <v>310</v>
      </c>
      <c r="G61" s="12">
        <f t="shared" si="2"/>
        <v>46.5</v>
      </c>
      <c r="H61" s="19">
        <f t="shared" si="3"/>
        <v>356.5</v>
      </c>
      <c r="I61" s="20" t="s">
        <v>8</v>
      </c>
    </row>
    <row r="62" spans="2:9" ht="15" customHeight="1" x14ac:dyDescent="0.2">
      <c r="B62" s="8" t="s">
        <v>30</v>
      </c>
      <c r="C62" s="21">
        <v>1060</v>
      </c>
      <c r="D62" s="8">
        <v>6119</v>
      </c>
      <c r="E62" s="9" t="s">
        <v>22</v>
      </c>
      <c r="F62" s="9">
        <v>210</v>
      </c>
      <c r="G62" s="9">
        <f t="shared" si="2"/>
        <v>31.5</v>
      </c>
      <c r="H62" s="22">
        <f t="shared" si="3"/>
        <v>241.5</v>
      </c>
      <c r="I62" s="20" t="s">
        <v>16</v>
      </c>
    </row>
    <row r="63" spans="2:9" ht="15" customHeight="1" x14ac:dyDescent="0.2">
      <c r="B63" s="11" t="s">
        <v>31</v>
      </c>
      <c r="C63" s="18">
        <v>1061</v>
      </c>
      <c r="D63" s="11">
        <v>1109</v>
      </c>
      <c r="E63" s="12" t="s">
        <v>17</v>
      </c>
      <c r="F63" s="12">
        <v>140</v>
      </c>
      <c r="G63" s="12">
        <f t="shared" si="2"/>
        <v>21</v>
      </c>
      <c r="H63" s="19">
        <f t="shared" si="3"/>
        <v>161</v>
      </c>
      <c r="I63" s="20" t="s">
        <v>16</v>
      </c>
    </row>
    <row r="64" spans="2:9" ht="15" customHeight="1" x14ac:dyDescent="0.2">
      <c r="B64" s="8" t="s">
        <v>31</v>
      </c>
      <c r="C64" s="21">
        <v>1062</v>
      </c>
      <c r="D64" s="8">
        <v>2499</v>
      </c>
      <c r="E64" s="9" t="s">
        <v>13</v>
      </c>
      <c r="F64" s="9">
        <v>120</v>
      </c>
      <c r="G64" s="9">
        <f t="shared" si="2"/>
        <v>18</v>
      </c>
      <c r="H64" s="22">
        <f t="shared" si="3"/>
        <v>138</v>
      </c>
      <c r="I64" s="20" t="s">
        <v>8</v>
      </c>
    </row>
    <row r="65" spans="2:9" ht="15" customHeight="1" x14ac:dyDescent="0.2">
      <c r="B65" s="11" t="s">
        <v>31</v>
      </c>
      <c r="C65" s="18">
        <v>1063</v>
      </c>
      <c r="D65" s="11">
        <v>1109</v>
      </c>
      <c r="E65" s="12" t="s">
        <v>17</v>
      </c>
      <c r="F65" s="12">
        <v>140</v>
      </c>
      <c r="G65" s="12">
        <f t="shared" si="2"/>
        <v>21</v>
      </c>
      <c r="H65" s="19">
        <f t="shared" si="3"/>
        <v>161</v>
      </c>
      <c r="I65" s="20" t="s">
        <v>10</v>
      </c>
    </row>
    <row r="66" spans="2:9" ht="15" customHeight="1" x14ac:dyDescent="0.2">
      <c r="B66" s="8" t="s">
        <v>31</v>
      </c>
      <c r="C66" s="21">
        <v>1064</v>
      </c>
      <c r="D66" s="8">
        <v>2499</v>
      </c>
      <c r="E66" s="9" t="s">
        <v>13</v>
      </c>
      <c r="F66" s="9">
        <v>120</v>
      </c>
      <c r="G66" s="9">
        <f t="shared" si="2"/>
        <v>18</v>
      </c>
      <c r="H66" s="22">
        <f t="shared" si="3"/>
        <v>138</v>
      </c>
      <c r="I66" s="20" t="s">
        <v>8</v>
      </c>
    </row>
    <row r="67" spans="2:9" ht="15" customHeight="1" x14ac:dyDescent="0.2">
      <c r="B67" s="11" t="s">
        <v>31</v>
      </c>
      <c r="C67" s="18">
        <v>1065</v>
      </c>
      <c r="D67" s="11">
        <v>2499</v>
      </c>
      <c r="E67" s="12" t="s">
        <v>13</v>
      </c>
      <c r="F67" s="12">
        <v>120</v>
      </c>
      <c r="G67" s="12">
        <f t="shared" ref="G67:G98" si="4">IF(F67&gt;100,F67*0.15,F67*0.1)</f>
        <v>18</v>
      </c>
      <c r="H67" s="19">
        <f t="shared" ref="H67:H98" si="5">F67+G67</f>
        <v>138</v>
      </c>
      <c r="I67" s="20" t="s">
        <v>14</v>
      </c>
    </row>
    <row r="68" spans="2:9" ht="15" customHeight="1" x14ac:dyDescent="0.2">
      <c r="B68" s="8" t="s">
        <v>31</v>
      </c>
      <c r="C68" s="21">
        <v>1066</v>
      </c>
      <c r="D68" s="8">
        <v>2877</v>
      </c>
      <c r="E68" s="9" t="s">
        <v>11</v>
      </c>
      <c r="F68" s="9">
        <v>95</v>
      </c>
      <c r="G68" s="9">
        <f t="shared" si="4"/>
        <v>9.5</v>
      </c>
      <c r="H68" s="22">
        <f t="shared" si="5"/>
        <v>104.5</v>
      </c>
      <c r="I68" s="20" t="s">
        <v>16</v>
      </c>
    </row>
    <row r="69" spans="2:9" ht="15" customHeight="1" x14ac:dyDescent="0.2">
      <c r="B69" s="11" t="s">
        <v>31</v>
      </c>
      <c r="C69" s="18">
        <v>1067</v>
      </c>
      <c r="D69" s="11">
        <v>2877</v>
      </c>
      <c r="E69" s="12" t="s">
        <v>11</v>
      </c>
      <c r="F69" s="12">
        <v>95</v>
      </c>
      <c r="G69" s="12">
        <f t="shared" si="4"/>
        <v>9.5</v>
      </c>
      <c r="H69" s="19">
        <f t="shared" si="5"/>
        <v>104.5</v>
      </c>
      <c r="I69" s="20" t="s">
        <v>18</v>
      </c>
    </row>
    <row r="70" spans="2:9" ht="15" customHeight="1" x14ac:dyDescent="0.2">
      <c r="B70" s="8" t="s">
        <v>31</v>
      </c>
      <c r="C70" s="21">
        <v>1068</v>
      </c>
      <c r="D70" s="8">
        <v>6119</v>
      </c>
      <c r="E70" s="9" t="s">
        <v>22</v>
      </c>
      <c r="F70" s="9">
        <v>210</v>
      </c>
      <c r="G70" s="9">
        <f t="shared" si="4"/>
        <v>31.5</v>
      </c>
      <c r="H70" s="22">
        <f t="shared" si="5"/>
        <v>241.5</v>
      </c>
      <c r="I70" s="20" t="s">
        <v>10</v>
      </c>
    </row>
    <row r="71" spans="2:9" ht="15" customHeight="1" x14ac:dyDescent="0.2">
      <c r="B71" s="11" t="s">
        <v>31</v>
      </c>
      <c r="C71" s="18">
        <v>1069</v>
      </c>
      <c r="D71" s="11">
        <v>1109</v>
      </c>
      <c r="E71" s="12" t="s">
        <v>17</v>
      </c>
      <c r="F71" s="12">
        <v>140</v>
      </c>
      <c r="G71" s="12">
        <f t="shared" si="4"/>
        <v>21</v>
      </c>
      <c r="H71" s="19">
        <f t="shared" si="5"/>
        <v>161</v>
      </c>
      <c r="I71" s="20" t="s">
        <v>8</v>
      </c>
    </row>
    <row r="72" spans="2:9" ht="15" customHeight="1" x14ac:dyDescent="0.2">
      <c r="B72" s="8" t="s">
        <v>31</v>
      </c>
      <c r="C72" s="21">
        <v>1070</v>
      </c>
      <c r="D72" s="8">
        <v>2499</v>
      </c>
      <c r="E72" s="9" t="s">
        <v>13</v>
      </c>
      <c r="F72" s="9">
        <v>120</v>
      </c>
      <c r="G72" s="9">
        <f t="shared" si="4"/>
        <v>18</v>
      </c>
      <c r="H72" s="22">
        <f t="shared" si="5"/>
        <v>138</v>
      </c>
      <c r="I72" s="20" t="s">
        <v>8</v>
      </c>
    </row>
    <row r="73" spans="2:9" ht="15" customHeight="1" x14ac:dyDescent="0.2">
      <c r="B73" s="11" t="s">
        <v>31</v>
      </c>
      <c r="C73" s="18">
        <v>1071</v>
      </c>
      <c r="D73" s="11">
        <v>1109</v>
      </c>
      <c r="E73" s="12" t="s">
        <v>17</v>
      </c>
      <c r="F73" s="12">
        <v>140</v>
      </c>
      <c r="G73" s="12">
        <f t="shared" si="4"/>
        <v>21</v>
      </c>
      <c r="H73" s="19">
        <f t="shared" si="5"/>
        <v>161</v>
      </c>
      <c r="I73" s="20" t="s">
        <v>8</v>
      </c>
    </row>
    <row r="74" spans="2:9" ht="15" customHeight="1" x14ac:dyDescent="0.2">
      <c r="B74" s="8" t="s">
        <v>31</v>
      </c>
      <c r="C74" s="21">
        <v>1072</v>
      </c>
      <c r="D74" s="8">
        <v>1109</v>
      </c>
      <c r="E74" s="9" t="s">
        <v>17</v>
      </c>
      <c r="F74" s="9">
        <v>140</v>
      </c>
      <c r="G74" s="9">
        <f t="shared" si="4"/>
        <v>21</v>
      </c>
      <c r="H74" s="22">
        <f t="shared" si="5"/>
        <v>161</v>
      </c>
      <c r="I74" s="20" t="s">
        <v>16</v>
      </c>
    </row>
    <row r="75" spans="2:9" ht="15" customHeight="1" x14ac:dyDescent="0.2">
      <c r="B75" s="11" t="s">
        <v>31</v>
      </c>
      <c r="C75" s="18">
        <v>1073</v>
      </c>
      <c r="D75" s="11">
        <v>6622</v>
      </c>
      <c r="E75" s="12" t="s">
        <v>23</v>
      </c>
      <c r="F75" s="12">
        <v>230</v>
      </c>
      <c r="G75" s="12">
        <f t="shared" si="4"/>
        <v>34.5</v>
      </c>
      <c r="H75" s="19">
        <f t="shared" si="5"/>
        <v>264.5</v>
      </c>
      <c r="I75" s="20" t="s">
        <v>10</v>
      </c>
    </row>
    <row r="76" spans="2:9" ht="15" customHeight="1" x14ac:dyDescent="0.2">
      <c r="B76" s="8" t="s">
        <v>31</v>
      </c>
      <c r="C76" s="21">
        <v>1074</v>
      </c>
      <c r="D76" s="8">
        <v>2877</v>
      </c>
      <c r="E76" s="9" t="s">
        <v>11</v>
      </c>
      <c r="F76" s="9">
        <v>95</v>
      </c>
      <c r="G76" s="9">
        <f t="shared" si="4"/>
        <v>9.5</v>
      </c>
      <c r="H76" s="22">
        <f t="shared" si="5"/>
        <v>104.5</v>
      </c>
      <c r="I76" s="20" t="s">
        <v>8</v>
      </c>
    </row>
    <row r="77" spans="2:9" ht="15" customHeight="1" x14ac:dyDescent="0.2">
      <c r="B77" s="11" t="s">
        <v>31</v>
      </c>
      <c r="C77" s="18">
        <v>1075</v>
      </c>
      <c r="D77" s="11">
        <v>1109</v>
      </c>
      <c r="E77" s="12" t="s">
        <v>17</v>
      </c>
      <c r="F77" s="12">
        <v>140</v>
      </c>
      <c r="G77" s="12">
        <f t="shared" si="4"/>
        <v>21</v>
      </c>
      <c r="H77" s="19">
        <f t="shared" si="5"/>
        <v>161</v>
      </c>
      <c r="I77" s="20" t="s">
        <v>10</v>
      </c>
    </row>
    <row r="78" spans="2:9" ht="15" customHeight="1" x14ac:dyDescent="0.2">
      <c r="B78" s="8" t="s">
        <v>31</v>
      </c>
      <c r="C78" s="21">
        <v>1076</v>
      </c>
      <c r="D78" s="8">
        <v>1109</v>
      </c>
      <c r="E78" s="9" t="s">
        <v>17</v>
      </c>
      <c r="F78" s="9">
        <v>140</v>
      </c>
      <c r="G78" s="9">
        <f t="shared" si="4"/>
        <v>21</v>
      </c>
      <c r="H78" s="22">
        <f t="shared" si="5"/>
        <v>161</v>
      </c>
      <c r="I78" s="20" t="s">
        <v>8</v>
      </c>
    </row>
    <row r="79" spans="2:9" ht="15" customHeight="1" x14ac:dyDescent="0.2">
      <c r="B79" s="11" t="s">
        <v>31</v>
      </c>
      <c r="C79" s="18">
        <v>1077</v>
      </c>
      <c r="D79" s="11">
        <v>9822</v>
      </c>
      <c r="E79" s="12" t="s">
        <v>9</v>
      </c>
      <c r="F79" s="12">
        <v>185</v>
      </c>
      <c r="G79" s="12">
        <f t="shared" si="4"/>
        <v>27.75</v>
      </c>
      <c r="H79" s="19">
        <f t="shared" si="5"/>
        <v>212.75</v>
      </c>
      <c r="I79" s="20" t="s">
        <v>8</v>
      </c>
    </row>
    <row r="80" spans="2:9" ht="15" customHeight="1" x14ac:dyDescent="0.2">
      <c r="B80" s="8" t="s">
        <v>31</v>
      </c>
      <c r="C80" s="21">
        <v>1078</v>
      </c>
      <c r="D80" s="8">
        <v>2877</v>
      </c>
      <c r="E80" s="9" t="s">
        <v>11</v>
      </c>
      <c r="F80" s="9">
        <v>95</v>
      </c>
      <c r="G80" s="9">
        <f t="shared" si="4"/>
        <v>9.5</v>
      </c>
      <c r="H80" s="22">
        <f t="shared" si="5"/>
        <v>104.5</v>
      </c>
      <c r="I80" s="20" t="s">
        <v>16</v>
      </c>
    </row>
    <row r="81" spans="2:9" ht="15" customHeight="1" x14ac:dyDescent="0.2">
      <c r="B81" s="11" t="s">
        <v>32</v>
      </c>
      <c r="C81" s="18">
        <v>1079</v>
      </c>
      <c r="D81" s="11">
        <v>2877</v>
      </c>
      <c r="E81" s="12" t="s">
        <v>11</v>
      </c>
      <c r="F81" s="12">
        <v>95</v>
      </c>
      <c r="G81" s="12">
        <f t="shared" si="4"/>
        <v>9.5</v>
      </c>
      <c r="H81" s="19">
        <f t="shared" si="5"/>
        <v>104.5</v>
      </c>
      <c r="I81" s="20" t="s">
        <v>14</v>
      </c>
    </row>
    <row r="82" spans="2:9" ht="15" customHeight="1" x14ac:dyDescent="0.2">
      <c r="B82" s="8" t="s">
        <v>32</v>
      </c>
      <c r="C82" s="21">
        <v>1080</v>
      </c>
      <c r="D82" s="8">
        <v>4421</v>
      </c>
      <c r="E82" s="9" t="s">
        <v>19</v>
      </c>
      <c r="F82" s="9">
        <v>165</v>
      </c>
      <c r="G82" s="9">
        <f t="shared" si="4"/>
        <v>24.75</v>
      </c>
      <c r="H82" s="22">
        <f t="shared" si="5"/>
        <v>189.75</v>
      </c>
      <c r="I82" s="20" t="s">
        <v>10</v>
      </c>
    </row>
    <row r="83" spans="2:9" ht="15" customHeight="1" x14ac:dyDescent="0.2">
      <c r="B83" s="11" t="s">
        <v>32</v>
      </c>
      <c r="C83" s="18">
        <v>1081</v>
      </c>
      <c r="D83" s="11">
        <v>6119</v>
      </c>
      <c r="E83" s="12" t="s">
        <v>22</v>
      </c>
      <c r="F83" s="12">
        <v>210</v>
      </c>
      <c r="G83" s="12">
        <f t="shared" si="4"/>
        <v>31.5</v>
      </c>
      <c r="H83" s="19">
        <f t="shared" si="5"/>
        <v>241.5</v>
      </c>
      <c r="I83" s="20" t="s">
        <v>18</v>
      </c>
    </row>
    <row r="84" spans="2:9" ht="15" customHeight="1" x14ac:dyDescent="0.2">
      <c r="B84" s="8" t="s">
        <v>32</v>
      </c>
      <c r="C84" s="21">
        <v>1082</v>
      </c>
      <c r="D84" s="8">
        <v>1109</v>
      </c>
      <c r="E84" s="9" t="s">
        <v>17</v>
      </c>
      <c r="F84" s="9">
        <v>140</v>
      </c>
      <c r="G84" s="9">
        <f t="shared" si="4"/>
        <v>21</v>
      </c>
      <c r="H84" s="22">
        <f t="shared" si="5"/>
        <v>161</v>
      </c>
      <c r="I84" s="20" t="s">
        <v>10</v>
      </c>
    </row>
    <row r="85" spans="2:9" ht="15" customHeight="1" x14ac:dyDescent="0.2">
      <c r="B85" s="11" t="s">
        <v>32</v>
      </c>
      <c r="C85" s="18">
        <v>1083</v>
      </c>
      <c r="D85" s="11">
        <v>1109</v>
      </c>
      <c r="E85" s="12" t="s">
        <v>17</v>
      </c>
      <c r="F85" s="12">
        <v>140</v>
      </c>
      <c r="G85" s="12">
        <f t="shared" si="4"/>
        <v>21</v>
      </c>
      <c r="H85" s="19">
        <f t="shared" si="5"/>
        <v>161</v>
      </c>
      <c r="I85" s="20" t="s">
        <v>16</v>
      </c>
    </row>
    <row r="86" spans="2:9" ht="15" customHeight="1" x14ac:dyDescent="0.2">
      <c r="B86" s="8" t="s">
        <v>32</v>
      </c>
      <c r="C86" s="21">
        <v>1084</v>
      </c>
      <c r="D86" s="8">
        <v>6119</v>
      </c>
      <c r="E86" s="9" t="s">
        <v>22</v>
      </c>
      <c r="F86" s="9">
        <v>210</v>
      </c>
      <c r="G86" s="9">
        <f t="shared" si="4"/>
        <v>31.5</v>
      </c>
      <c r="H86" s="22">
        <f t="shared" si="5"/>
        <v>241.5</v>
      </c>
      <c r="I86" s="20" t="s">
        <v>8</v>
      </c>
    </row>
    <row r="87" spans="2:9" ht="15" customHeight="1" x14ac:dyDescent="0.2">
      <c r="B87" s="11" t="s">
        <v>32</v>
      </c>
      <c r="C87" s="18">
        <v>1085</v>
      </c>
      <c r="D87" s="11">
        <v>9822</v>
      </c>
      <c r="E87" s="12" t="s">
        <v>9</v>
      </c>
      <c r="F87" s="12">
        <v>185</v>
      </c>
      <c r="G87" s="12">
        <f t="shared" si="4"/>
        <v>27.75</v>
      </c>
      <c r="H87" s="19">
        <f t="shared" si="5"/>
        <v>212.75</v>
      </c>
      <c r="I87" s="20" t="s">
        <v>16</v>
      </c>
    </row>
    <row r="88" spans="2:9" ht="15" customHeight="1" x14ac:dyDescent="0.2">
      <c r="B88" s="8" t="s">
        <v>32</v>
      </c>
      <c r="C88" s="21">
        <v>1086</v>
      </c>
      <c r="D88" s="8">
        <v>1109</v>
      </c>
      <c r="E88" s="9" t="s">
        <v>17</v>
      </c>
      <c r="F88" s="9">
        <v>140</v>
      </c>
      <c r="G88" s="9">
        <f t="shared" si="4"/>
        <v>21</v>
      </c>
      <c r="H88" s="22">
        <f t="shared" si="5"/>
        <v>161</v>
      </c>
      <c r="I88" s="20" t="s">
        <v>8</v>
      </c>
    </row>
    <row r="89" spans="2:9" ht="15" customHeight="1" x14ac:dyDescent="0.2">
      <c r="B89" s="11" t="s">
        <v>32</v>
      </c>
      <c r="C89" s="18">
        <v>1087</v>
      </c>
      <c r="D89" s="11">
        <v>2499</v>
      </c>
      <c r="E89" s="12" t="s">
        <v>13</v>
      </c>
      <c r="F89" s="12">
        <v>120</v>
      </c>
      <c r="G89" s="12">
        <f t="shared" si="4"/>
        <v>18</v>
      </c>
      <c r="H89" s="19">
        <f t="shared" si="5"/>
        <v>138</v>
      </c>
      <c r="I89" s="20" t="s">
        <v>10</v>
      </c>
    </row>
    <row r="90" spans="2:9" ht="15" customHeight="1" x14ac:dyDescent="0.2">
      <c r="B90" s="8" t="s">
        <v>32</v>
      </c>
      <c r="C90" s="21">
        <v>1088</v>
      </c>
      <c r="D90" s="8">
        <v>2499</v>
      </c>
      <c r="E90" s="9" t="s">
        <v>13</v>
      </c>
      <c r="F90" s="9">
        <v>120</v>
      </c>
      <c r="G90" s="9">
        <f t="shared" si="4"/>
        <v>18</v>
      </c>
      <c r="H90" s="22">
        <f t="shared" si="5"/>
        <v>138</v>
      </c>
      <c r="I90" s="20" t="s">
        <v>14</v>
      </c>
    </row>
    <row r="91" spans="2:9" ht="15" customHeight="1" x14ac:dyDescent="0.2">
      <c r="B91" s="11" t="s">
        <v>32</v>
      </c>
      <c r="C91" s="18">
        <v>1089</v>
      </c>
      <c r="D91" s="11">
        <v>6119</v>
      </c>
      <c r="E91" s="12" t="s">
        <v>22</v>
      </c>
      <c r="F91" s="12">
        <v>210</v>
      </c>
      <c r="G91" s="12">
        <f t="shared" si="4"/>
        <v>31.5</v>
      </c>
      <c r="H91" s="19">
        <f t="shared" si="5"/>
        <v>241.5</v>
      </c>
      <c r="I91" s="20" t="s">
        <v>16</v>
      </c>
    </row>
    <row r="92" spans="2:9" ht="15" customHeight="1" x14ac:dyDescent="0.2">
      <c r="B92" s="8" t="s">
        <v>32</v>
      </c>
      <c r="C92" s="21">
        <v>1090</v>
      </c>
      <c r="D92" s="8">
        <v>2877</v>
      </c>
      <c r="E92" s="9" t="s">
        <v>11</v>
      </c>
      <c r="F92" s="9">
        <v>95</v>
      </c>
      <c r="G92" s="9">
        <f t="shared" si="4"/>
        <v>9.5</v>
      </c>
      <c r="H92" s="22">
        <f t="shared" si="5"/>
        <v>104.5</v>
      </c>
      <c r="I92" s="20" t="s">
        <v>10</v>
      </c>
    </row>
    <row r="93" spans="2:9" ht="15" customHeight="1" x14ac:dyDescent="0.2">
      <c r="B93" s="11" t="s">
        <v>32</v>
      </c>
      <c r="C93" s="18">
        <v>1091</v>
      </c>
      <c r="D93" s="11">
        <v>2877</v>
      </c>
      <c r="E93" s="12" t="s">
        <v>11</v>
      </c>
      <c r="F93" s="12">
        <v>95</v>
      </c>
      <c r="G93" s="12">
        <f t="shared" si="4"/>
        <v>9.5</v>
      </c>
      <c r="H93" s="19">
        <f t="shared" si="5"/>
        <v>104.5</v>
      </c>
      <c r="I93" s="20" t="s">
        <v>16</v>
      </c>
    </row>
    <row r="94" spans="2:9" ht="15" customHeight="1" x14ac:dyDescent="0.2">
      <c r="B94" s="8" t="s">
        <v>32</v>
      </c>
      <c r="C94" s="21">
        <v>1092</v>
      </c>
      <c r="D94" s="8">
        <v>2877</v>
      </c>
      <c r="E94" s="9" t="s">
        <v>11</v>
      </c>
      <c r="F94" s="9">
        <v>95</v>
      </c>
      <c r="G94" s="9">
        <f t="shared" si="4"/>
        <v>9.5</v>
      </c>
      <c r="H94" s="22">
        <f t="shared" si="5"/>
        <v>104.5</v>
      </c>
      <c r="I94" s="20" t="s">
        <v>10</v>
      </c>
    </row>
    <row r="95" spans="2:9" ht="15" customHeight="1" x14ac:dyDescent="0.2">
      <c r="B95" s="11" t="s">
        <v>32</v>
      </c>
      <c r="C95" s="18">
        <v>1093</v>
      </c>
      <c r="D95" s="11">
        <v>6119</v>
      </c>
      <c r="E95" s="12" t="s">
        <v>22</v>
      </c>
      <c r="F95" s="12">
        <v>210</v>
      </c>
      <c r="G95" s="12">
        <f t="shared" si="4"/>
        <v>31.5</v>
      </c>
      <c r="H95" s="19">
        <f t="shared" si="5"/>
        <v>241.5</v>
      </c>
      <c r="I95" s="20" t="s">
        <v>8</v>
      </c>
    </row>
    <row r="96" spans="2:9" ht="15" customHeight="1" x14ac:dyDescent="0.2">
      <c r="B96" s="8" t="s">
        <v>32</v>
      </c>
      <c r="C96" s="21">
        <v>1094</v>
      </c>
      <c r="D96" s="8">
        <v>6119</v>
      </c>
      <c r="E96" s="9" t="s">
        <v>22</v>
      </c>
      <c r="F96" s="9">
        <v>210</v>
      </c>
      <c r="G96" s="9">
        <f t="shared" si="4"/>
        <v>31.5</v>
      </c>
      <c r="H96" s="22">
        <f t="shared" si="5"/>
        <v>241.5</v>
      </c>
      <c r="I96" s="20" t="s">
        <v>10</v>
      </c>
    </row>
    <row r="97" spans="2:9" ht="15" customHeight="1" x14ac:dyDescent="0.2">
      <c r="B97" s="11" t="s">
        <v>32</v>
      </c>
      <c r="C97" s="18">
        <v>1095</v>
      </c>
      <c r="D97" s="11">
        <v>2499</v>
      </c>
      <c r="E97" s="12" t="s">
        <v>13</v>
      </c>
      <c r="F97" s="12">
        <v>120</v>
      </c>
      <c r="G97" s="12">
        <f t="shared" si="4"/>
        <v>18</v>
      </c>
      <c r="H97" s="19">
        <f t="shared" si="5"/>
        <v>138</v>
      </c>
      <c r="I97" s="20" t="s">
        <v>8</v>
      </c>
    </row>
    <row r="98" spans="2:9" ht="15" customHeight="1" x14ac:dyDescent="0.2">
      <c r="B98" s="8" t="s">
        <v>32</v>
      </c>
      <c r="C98" s="21">
        <v>1096</v>
      </c>
      <c r="D98" s="8">
        <v>6119</v>
      </c>
      <c r="E98" s="9" t="s">
        <v>22</v>
      </c>
      <c r="F98" s="9">
        <v>210</v>
      </c>
      <c r="G98" s="9">
        <f t="shared" si="4"/>
        <v>31.5</v>
      </c>
      <c r="H98" s="22">
        <f t="shared" si="5"/>
        <v>241.5</v>
      </c>
      <c r="I98" s="20" t="s">
        <v>8</v>
      </c>
    </row>
    <row r="99" spans="2:9" ht="15" customHeight="1" x14ac:dyDescent="0.2">
      <c r="B99" s="11" t="s">
        <v>32</v>
      </c>
      <c r="C99" s="18">
        <v>1097</v>
      </c>
      <c r="D99" s="11">
        <v>9212</v>
      </c>
      <c r="E99" s="12" t="s">
        <v>21</v>
      </c>
      <c r="F99" s="12">
        <v>175</v>
      </c>
      <c r="G99" s="12">
        <f t="shared" ref="G99:G130" si="6">IF(F99&gt;100,F99*0.15,F99*0.1)</f>
        <v>26.25</v>
      </c>
      <c r="H99" s="19">
        <f t="shared" ref="H99:H130" si="7">F99+G99</f>
        <v>201.25</v>
      </c>
      <c r="I99" s="20" t="s">
        <v>16</v>
      </c>
    </row>
    <row r="100" spans="2:9" ht="15" customHeight="1" x14ac:dyDescent="0.2">
      <c r="B100" s="8" t="s">
        <v>32</v>
      </c>
      <c r="C100" s="21">
        <v>1098</v>
      </c>
      <c r="D100" s="8">
        <v>2877</v>
      </c>
      <c r="E100" s="9" t="s">
        <v>11</v>
      </c>
      <c r="F100" s="9">
        <v>95</v>
      </c>
      <c r="G100" s="9">
        <f t="shared" si="6"/>
        <v>9.5</v>
      </c>
      <c r="H100" s="22">
        <f t="shared" si="7"/>
        <v>104.5</v>
      </c>
      <c r="I100" s="20" t="s">
        <v>14</v>
      </c>
    </row>
    <row r="101" spans="2:9" ht="15" customHeight="1" x14ac:dyDescent="0.2">
      <c r="B101" s="11" t="s">
        <v>33</v>
      </c>
      <c r="C101" s="18">
        <v>1099</v>
      </c>
      <c r="D101" s="11">
        <v>2877</v>
      </c>
      <c r="E101" s="12" t="s">
        <v>11</v>
      </c>
      <c r="F101" s="12">
        <v>95</v>
      </c>
      <c r="G101" s="12">
        <f t="shared" si="6"/>
        <v>9.5</v>
      </c>
      <c r="H101" s="19">
        <f t="shared" si="7"/>
        <v>104.5</v>
      </c>
      <c r="I101" s="20" t="s">
        <v>10</v>
      </c>
    </row>
    <row r="102" spans="2:9" ht="15" customHeight="1" x14ac:dyDescent="0.2">
      <c r="B102" s="8" t="s">
        <v>33</v>
      </c>
      <c r="C102" s="21">
        <v>1100</v>
      </c>
      <c r="D102" s="8">
        <v>6119</v>
      </c>
      <c r="E102" s="9" t="s">
        <v>22</v>
      </c>
      <c r="F102" s="9">
        <v>210</v>
      </c>
      <c r="G102" s="9">
        <f t="shared" si="6"/>
        <v>31.5</v>
      </c>
      <c r="H102" s="22">
        <f t="shared" si="7"/>
        <v>241.5</v>
      </c>
      <c r="I102" s="20" t="s">
        <v>18</v>
      </c>
    </row>
    <row r="103" spans="2:9" ht="15" customHeight="1" x14ac:dyDescent="0.2">
      <c r="B103" s="11" t="s">
        <v>33</v>
      </c>
      <c r="C103" s="18">
        <v>1101</v>
      </c>
      <c r="D103" s="11">
        <v>2499</v>
      </c>
      <c r="E103" s="12" t="s">
        <v>13</v>
      </c>
      <c r="F103" s="12">
        <v>120</v>
      </c>
      <c r="G103" s="12">
        <f t="shared" si="6"/>
        <v>18</v>
      </c>
      <c r="H103" s="19">
        <f t="shared" si="7"/>
        <v>138</v>
      </c>
      <c r="I103" s="20" t="s">
        <v>10</v>
      </c>
    </row>
    <row r="104" spans="2:9" ht="15" customHeight="1" x14ac:dyDescent="0.2">
      <c r="B104" s="8" t="s">
        <v>33</v>
      </c>
      <c r="C104" s="21">
        <v>1102</v>
      </c>
      <c r="D104" s="8">
        <v>2242</v>
      </c>
      <c r="E104" s="9" t="s">
        <v>24</v>
      </c>
      <c r="F104" s="9">
        <v>310</v>
      </c>
      <c r="G104" s="9">
        <f t="shared" si="6"/>
        <v>46.5</v>
      </c>
      <c r="H104" s="22">
        <f t="shared" si="7"/>
        <v>356.5</v>
      </c>
      <c r="I104" s="20" t="s">
        <v>16</v>
      </c>
    </row>
    <row r="105" spans="2:9" ht="15" customHeight="1" x14ac:dyDescent="0.2">
      <c r="B105" s="11" t="s">
        <v>33</v>
      </c>
      <c r="C105" s="18">
        <v>1103</v>
      </c>
      <c r="D105" s="11">
        <v>2877</v>
      </c>
      <c r="E105" s="12" t="s">
        <v>11</v>
      </c>
      <c r="F105" s="12">
        <v>95</v>
      </c>
      <c r="G105" s="12">
        <f t="shared" si="6"/>
        <v>9.5</v>
      </c>
      <c r="H105" s="19">
        <f t="shared" si="7"/>
        <v>104.5</v>
      </c>
      <c r="I105" s="20" t="s">
        <v>8</v>
      </c>
    </row>
    <row r="106" spans="2:9" ht="15" customHeight="1" x14ac:dyDescent="0.2">
      <c r="B106" s="8" t="s">
        <v>33</v>
      </c>
      <c r="C106" s="21">
        <v>1104</v>
      </c>
      <c r="D106" s="8">
        <v>2877</v>
      </c>
      <c r="E106" s="9" t="s">
        <v>11</v>
      </c>
      <c r="F106" s="9">
        <v>95</v>
      </c>
      <c r="G106" s="9">
        <f t="shared" si="6"/>
        <v>9.5</v>
      </c>
      <c r="H106" s="22">
        <f t="shared" si="7"/>
        <v>104.5</v>
      </c>
      <c r="I106" s="20" t="s">
        <v>16</v>
      </c>
    </row>
    <row r="107" spans="2:9" ht="15" customHeight="1" x14ac:dyDescent="0.2">
      <c r="B107" s="11" t="s">
        <v>33</v>
      </c>
      <c r="C107" s="18">
        <v>1105</v>
      </c>
      <c r="D107" s="11">
        <v>2499</v>
      </c>
      <c r="E107" s="12" t="s">
        <v>13</v>
      </c>
      <c r="F107" s="12">
        <v>120</v>
      </c>
      <c r="G107" s="12">
        <f t="shared" si="6"/>
        <v>18</v>
      </c>
      <c r="H107" s="19">
        <f t="shared" si="7"/>
        <v>138</v>
      </c>
      <c r="I107" s="20" t="s">
        <v>8</v>
      </c>
    </row>
    <row r="108" spans="2:9" ht="15" customHeight="1" x14ac:dyDescent="0.2">
      <c r="B108" s="8" t="s">
        <v>33</v>
      </c>
      <c r="C108" s="21">
        <v>1106</v>
      </c>
      <c r="D108" s="8">
        <v>9822</v>
      </c>
      <c r="E108" s="9" t="s">
        <v>9</v>
      </c>
      <c r="F108" s="9">
        <v>185</v>
      </c>
      <c r="G108" s="9">
        <f t="shared" si="6"/>
        <v>27.75</v>
      </c>
      <c r="H108" s="22">
        <f t="shared" si="7"/>
        <v>212.75</v>
      </c>
      <c r="I108" s="20" t="s">
        <v>10</v>
      </c>
    </row>
    <row r="109" spans="2:9" ht="15" customHeight="1" x14ac:dyDescent="0.2">
      <c r="B109" s="11" t="s">
        <v>33</v>
      </c>
      <c r="C109" s="18">
        <v>1107</v>
      </c>
      <c r="D109" s="11">
        <v>1109</v>
      </c>
      <c r="E109" s="12" t="s">
        <v>17</v>
      </c>
      <c r="F109" s="12">
        <v>140</v>
      </c>
      <c r="G109" s="12">
        <f t="shared" si="6"/>
        <v>21</v>
      </c>
      <c r="H109" s="19">
        <f t="shared" si="7"/>
        <v>161</v>
      </c>
      <c r="I109" s="20" t="s">
        <v>14</v>
      </c>
    </row>
    <row r="110" spans="2:9" ht="15" customHeight="1" x14ac:dyDescent="0.2">
      <c r="B110" s="8" t="s">
        <v>33</v>
      </c>
      <c r="C110" s="21">
        <v>1108</v>
      </c>
      <c r="D110" s="8">
        <v>9822</v>
      </c>
      <c r="E110" s="9" t="s">
        <v>9</v>
      </c>
      <c r="F110" s="9">
        <v>185</v>
      </c>
      <c r="G110" s="9">
        <f t="shared" si="6"/>
        <v>27.75</v>
      </c>
      <c r="H110" s="22">
        <f t="shared" si="7"/>
        <v>212.75</v>
      </c>
      <c r="I110" s="20" t="s">
        <v>16</v>
      </c>
    </row>
    <row r="111" spans="2:9" ht="15" customHeight="1" x14ac:dyDescent="0.2">
      <c r="B111" s="11" t="s">
        <v>33</v>
      </c>
      <c r="C111" s="18">
        <v>1109</v>
      </c>
      <c r="D111" s="11">
        <v>8722</v>
      </c>
      <c r="E111" s="12" t="s">
        <v>15</v>
      </c>
      <c r="F111" s="12">
        <v>650</v>
      </c>
      <c r="G111" s="12">
        <f t="shared" si="6"/>
        <v>97.5</v>
      </c>
      <c r="H111" s="19">
        <f t="shared" si="7"/>
        <v>747.5</v>
      </c>
      <c r="I111" s="20" t="s">
        <v>10</v>
      </c>
    </row>
    <row r="112" spans="2:9" ht="15" customHeight="1" x14ac:dyDescent="0.2">
      <c r="B112" s="8" t="s">
        <v>33</v>
      </c>
      <c r="C112" s="21">
        <v>1110</v>
      </c>
      <c r="D112" s="8">
        <v>8722</v>
      </c>
      <c r="E112" s="9" t="s">
        <v>15</v>
      </c>
      <c r="F112" s="9">
        <v>650</v>
      </c>
      <c r="G112" s="9">
        <f t="shared" si="6"/>
        <v>97.5</v>
      </c>
      <c r="H112" s="22">
        <f t="shared" si="7"/>
        <v>747.5</v>
      </c>
      <c r="I112" s="20" t="s">
        <v>16</v>
      </c>
    </row>
    <row r="113" spans="2:9" ht="15" customHeight="1" x14ac:dyDescent="0.2">
      <c r="B113" s="11" t="s">
        <v>33</v>
      </c>
      <c r="C113" s="18">
        <v>1111</v>
      </c>
      <c r="D113" s="11">
        <v>6622</v>
      </c>
      <c r="E113" s="12" t="s">
        <v>23</v>
      </c>
      <c r="F113" s="12">
        <v>230</v>
      </c>
      <c r="G113" s="12">
        <f t="shared" si="6"/>
        <v>34.5</v>
      </c>
      <c r="H113" s="19">
        <f t="shared" si="7"/>
        <v>264.5</v>
      </c>
      <c r="I113" s="20" t="s">
        <v>10</v>
      </c>
    </row>
    <row r="114" spans="2:9" ht="15" customHeight="1" x14ac:dyDescent="0.2">
      <c r="B114" s="8" t="s">
        <v>33</v>
      </c>
      <c r="C114" s="21">
        <v>1112</v>
      </c>
      <c r="D114" s="8">
        <v>6622</v>
      </c>
      <c r="E114" s="9" t="s">
        <v>23</v>
      </c>
      <c r="F114" s="9">
        <v>230</v>
      </c>
      <c r="G114" s="9">
        <f t="shared" si="6"/>
        <v>34.5</v>
      </c>
      <c r="H114" s="22">
        <f t="shared" si="7"/>
        <v>264.5</v>
      </c>
      <c r="I114" s="20" t="s">
        <v>8</v>
      </c>
    </row>
    <row r="115" spans="2:9" ht="15" customHeight="1" x14ac:dyDescent="0.2">
      <c r="B115" s="11" t="s">
        <v>33</v>
      </c>
      <c r="C115" s="18">
        <v>1113</v>
      </c>
      <c r="D115" s="11">
        <v>9822</v>
      </c>
      <c r="E115" s="12" t="s">
        <v>9</v>
      </c>
      <c r="F115" s="12">
        <v>185</v>
      </c>
      <c r="G115" s="12">
        <f t="shared" si="6"/>
        <v>27.75</v>
      </c>
      <c r="H115" s="19">
        <f t="shared" si="7"/>
        <v>212.75</v>
      </c>
      <c r="I115" s="20" t="s">
        <v>10</v>
      </c>
    </row>
    <row r="116" spans="2:9" ht="15" customHeight="1" x14ac:dyDescent="0.2">
      <c r="B116" s="8" t="s">
        <v>33</v>
      </c>
      <c r="C116" s="21">
        <v>1114</v>
      </c>
      <c r="D116" s="8">
        <v>2242</v>
      </c>
      <c r="E116" s="9" t="s">
        <v>24</v>
      </c>
      <c r="F116" s="9">
        <v>310</v>
      </c>
      <c r="G116" s="9">
        <f t="shared" si="6"/>
        <v>46.5</v>
      </c>
      <c r="H116" s="22">
        <f t="shared" si="7"/>
        <v>356.5</v>
      </c>
      <c r="I116" s="20" t="s">
        <v>8</v>
      </c>
    </row>
    <row r="117" spans="2:9" ht="15" customHeight="1" x14ac:dyDescent="0.2">
      <c r="B117" s="11" t="s">
        <v>33</v>
      </c>
      <c r="C117" s="18">
        <v>1115</v>
      </c>
      <c r="D117" s="11">
        <v>8722</v>
      </c>
      <c r="E117" s="12" t="s">
        <v>15</v>
      </c>
      <c r="F117" s="12">
        <v>650</v>
      </c>
      <c r="G117" s="12">
        <f t="shared" si="6"/>
        <v>97.5</v>
      </c>
      <c r="H117" s="19">
        <f t="shared" si="7"/>
        <v>747.5</v>
      </c>
      <c r="I117" s="20" t="s">
        <v>8</v>
      </c>
    </row>
    <row r="118" spans="2:9" ht="15" customHeight="1" x14ac:dyDescent="0.2">
      <c r="B118" s="8" t="s">
        <v>33</v>
      </c>
      <c r="C118" s="21">
        <v>1116</v>
      </c>
      <c r="D118" s="8">
        <v>6622</v>
      </c>
      <c r="E118" s="9" t="s">
        <v>23</v>
      </c>
      <c r="F118" s="9">
        <v>230</v>
      </c>
      <c r="G118" s="9">
        <f t="shared" si="6"/>
        <v>34.5</v>
      </c>
      <c r="H118" s="22">
        <f t="shared" si="7"/>
        <v>264.5</v>
      </c>
      <c r="I118" s="20" t="s">
        <v>16</v>
      </c>
    </row>
    <row r="119" spans="2:9" ht="15" customHeight="1" x14ac:dyDescent="0.2">
      <c r="B119" s="11" t="s">
        <v>33</v>
      </c>
      <c r="C119" s="18">
        <v>1117</v>
      </c>
      <c r="D119" s="11">
        <v>8722</v>
      </c>
      <c r="E119" s="12" t="s">
        <v>15</v>
      </c>
      <c r="F119" s="12">
        <v>650</v>
      </c>
      <c r="G119" s="12">
        <f t="shared" si="6"/>
        <v>97.5</v>
      </c>
      <c r="H119" s="19">
        <f t="shared" si="7"/>
        <v>747.5</v>
      </c>
      <c r="I119" s="20" t="s">
        <v>14</v>
      </c>
    </row>
    <row r="120" spans="2:9" ht="15" customHeight="1" x14ac:dyDescent="0.2">
      <c r="B120" s="8" t="s">
        <v>33</v>
      </c>
      <c r="C120" s="21">
        <v>1118</v>
      </c>
      <c r="D120" s="8">
        <v>9822</v>
      </c>
      <c r="E120" s="9" t="s">
        <v>9</v>
      </c>
      <c r="F120" s="9">
        <v>185</v>
      </c>
      <c r="G120" s="9">
        <f t="shared" si="6"/>
        <v>27.75</v>
      </c>
      <c r="H120" s="22">
        <f t="shared" si="7"/>
        <v>212.75</v>
      </c>
      <c r="I120" s="20" t="s">
        <v>10</v>
      </c>
    </row>
    <row r="121" spans="2:9" ht="15" customHeight="1" x14ac:dyDescent="0.2">
      <c r="B121" s="11" t="s">
        <v>33</v>
      </c>
      <c r="C121" s="18">
        <v>1119</v>
      </c>
      <c r="D121" s="11">
        <v>2242</v>
      </c>
      <c r="E121" s="12" t="s">
        <v>24</v>
      </c>
      <c r="F121" s="12">
        <v>310</v>
      </c>
      <c r="G121" s="12">
        <f t="shared" si="6"/>
        <v>46.5</v>
      </c>
      <c r="H121" s="19">
        <f t="shared" si="7"/>
        <v>356.5</v>
      </c>
      <c r="I121" s="20" t="s">
        <v>18</v>
      </c>
    </row>
    <row r="122" spans="2:9" ht="15" customHeight="1" x14ac:dyDescent="0.2">
      <c r="B122" s="8" t="s">
        <v>33</v>
      </c>
      <c r="C122" s="21">
        <v>1120</v>
      </c>
      <c r="D122" s="8">
        <v>2242</v>
      </c>
      <c r="E122" s="9" t="s">
        <v>24</v>
      </c>
      <c r="F122" s="9">
        <v>310</v>
      </c>
      <c r="G122" s="9">
        <f t="shared" si="6"/>
        <v>46.5</v>
      </c>
      <c r="H122" s="22">
        <f t="shared" si="7"/>
        <v>356.5</v>
      </c>
      <c r="I122" s="20" t="s">
        <v>10</v>
      </c>
    </row>
    <row r="123" spans="2:9" ht="15" customHeight="1" x14ac:dyDescent="0.2">
      <c r="B123" s="11" t="s">
        <v>33</v>
      </c>
      <c r="C123" s="18">
        <v>1121</v>
      </c>
      <c r="D123" s="11">
        <v>4421</v>
      </c>
      <c r="E123" s="12" t="s">
        <v>19</v>
      </c>
      <c r="F123" s="12">
        <v>165</v>
      </c>
      <c r="G123" s="12">
        <f t="shared" si="6"/>
        <v>24.75</v>
      </c>
      <c r="H123" s="19">
        <f t="shared" si="7"/>
        <v>189.75</v>
      </c>
      <c r="I123" s="20" t="s">
        <v>16</v>
      </c>
    </row>
    <row r="124" spans="2:9" ht="15" customHeight="1" x14ac:dyDescent="0.2">
      <c r="B124" s="8" t="s">
        <v>33</v>
      </c>
      <c r="C124" s="21">
        <v>1122</v>
      </c>
      <c r="D124" s="8">
        <v>8722</v>
      </c>
      <c r="E124" s="9" t="s">
        <v>15</v>
      </c>
      <c r="F124" s="9">
        <v>650</v>
      </c>
      <c r="G124" s="9">
        <f t="shared" si="6"/>
        <v>97.5</v>
      </c>
      <c r="H124" s="22">
        <f t="shared" si="7"/>
        <v>747.5</v>
      </c>
      <c r="I124" s="20" t="s">
        <v>8</v>
      </c>
    </row>
    <row r="125" spans="2:9" ht="15" customHeight="1" x14ac:dyDescent="0.2">
      <c r="B125" s="11" t="s">
        <v>33</v>
      </c>
      <c r="C125" s="18">
        <v>1123</v>
      </c>
      <c r="D125" s="11">
        <v>9822</v>
      </c>
      <c r="E125" s="12" t="s">
        <v>9</v>
      </c>
      <c r="F125" s="12">
        <v>185</v>
      </c>
      <c r="G125" s="12">
        <f t="shared" si="6"/>
        <v>27.75</v>
      </c>
      <c r="H125" s="19">
        <f t="shared" si="7"/>
        <v>212.75</v>
      </c>
      <c r="I125" s="20" t="s">
        <v>16</v>
      </c>
    </row>
    <row r="126" spans="2:9" ht="15" customHeight="1" x14ac:dyDescent="0.2">
      <c r="B126" s="8" t="s">
        <v>33</v>
      </c>
      <c r="C126" s="21">
        <v>1124</v>
      </c>
      <c r="D126" s="8">
        <v>4421</v>
      </c>
      <c r="E126" s="9" t="s">
        <v>19</v>
      </c>
      <c r="F126" s="9">
        <v>165</v>
      </c>
      <c r="G126" s="9">
        <f t="shared" si="6"/>
        <v>24.75</v>
      </c>
      <c r="H126" s="22">
        <f t="shared" si="7"/>
        <v>189.75</v>
      </c>
      <c r="I126" s="20" t="s">
        <v>8</v>
      </c>
    </row>
    <row r="127" spans="2:9" ht="15" customHeight="1" x14ac:dyDescent="0.2">
      <c r="B127" s="11" t="s">
        <v>34</v>
      </c>
      <c r="C127" s="18">
        <v>1125</v>
      </c>
      <c r="D127" s="11">
        <v>2242</v>
      </c>
      <c r="E127" s="12" t="s">
        <v>24</v>
      </c>
      <c r="F127" s="12">
        <v>310</v>
      </c>
      <c r="G127" s="12">
        <f t="shared" si="6"/>
        <v>46.5</v>
      </c>
      <c r="H127" s="19">
        <f t="shared" si="7"/>
        <v>356.5</v>
      </c>
      <c r="I127" s="20" t="s">
        <v>10</v>
      </c>
    </row>
    <row r="128" spans="2:9" ht="15" customHeight="1" x14ac:dyDescent="0.2">
      <c r="B128" s="8" t="s">
        <v>34</v>
      </c>
      <c r="C128" s="21">
        <v>1126</v>
      </c>
      <c r="D128" s="8">
        <v>9212</v>
      </c>
      <c r="E128" s="9" t="s">
        <v>21</v>
      </c>
      <c r="F128" s="9">
        <v>175</v>
      </c>
      <c r="G128" s="9">
        <f t="shared" si="6"/>
        <v>26.25</v>
      </c>
      <c r="H128" s="22">
        <f t="shared" si="7"/>
        <v>201.25</v>
      </c>
      <c r="I128" s="20" t="s">
        <v>14</v>
      </c>
    </row>
    <row r="129" spans="2:9" ht="15" customHeight="1" x14ac:dyDescent="0.2">
      <c r="B129" s="11" t="s">
        <v>34</v>
      </c>
      <c r="C129" s="18">
        <v>1127</v>
      </c>
      <c r="D129" s="11">
        <v>8722</v>
      </c>
      <c r="E129" s="12" t="s">
        <v>15</v>
      </c>
      <c r="F129" s="12">
        <v>650</v>
      </c>
      <c r="G129" s="12">
        <f t="shared" si="6"/>
        <v>97.5</v>
      </c>
      <c r="H129" s="19">
        <f t="shared" si="7"/>
        <v>747.5</v>
      </c>
      <c r="I129" s="20" t="s">
        <v>16</v>
      </c>
    </row>
    <row r="130" spans="2:9" ht="15" customHeight="1" x14ac:dyDescent="0.2">
      <c r="B130" s="8" t="s">
        <v>34</v>
      </c>
      <c r="C130" s="21">
        <v>1128</v>
      </c>
      <c r="D130" s="8">
        <v>6622</v>
      </c>
      <c r="E130" s="9" t="s">
        <v>23</v>
      </c>
      <c r="F130" s="9">
        <v>230</v>
      </c>
      <c r="G130" s="9">
        <f t="shared" si="6"/>
        <v>34.5</v>
      </c>
      <c r="H130" s="22">
        <f t="shared" si="7"/>
        <v>264.5</v>
      </c>
      <c r="I130" s="20" t="s">
        <v>10</v>
      </c>
    </row>
    <row r="131" spans="2:9" ht="15" customHeight="1" x14ac:dyDescent="0.2">
      <c r="B131" s="11" t="s">
        <v>34</v>
      </c>
      <c r="C131" s="18">
        <v>1129</v>
      </c>
      <c r="D131" s="11">
        <v>9822</v>
      </c>
      <c r="E131" s="12" t="s">
        <v>9</v>
      </c>
      <c r="F131" s="12">
        <v>185</v>
      </c>
      <c r="G131" s="12">
        <f t="shared" ref="G131:G162" si="8">IF(F131&gt;100,F131*0.15,F131*0.1)</f>
        <v>27.75</v>
      </c>
      <c r="H131" s="19">
        <f t="shared" ref="H131:H162" si="9">F131+G131</f>
        <v>212.75</v>
      </c>
      <c r="I131" s="20" t="s">
        <v>16</v>
      </c>
    </row>
    <row r="132" spans="2:9" ht="15" customHeight="1" x14ac:dyDescent="0.2">
      <c r="B132" s="8" t="s">
        <v>34</v>
      </c>
      <c r="C132" s="21">
        <v>1130</v>
      </c>
      <c r="D132" s="8">
        <v>4421</v>
      </c>
      <c r="E132" s="9" t="s">
        <v>19</v>
      </c>
      <c r="F132" s="9">
        <v>165</v>
      </c>
      <c r="G132" s="9">
        <f t="shared" si="8"/>
        <v>24.75</v>
      </c>
      <c r="H132" s="22">
        <f t="shared" si="9"/>
        <v>189.75</v>
      </c>
      <c r="I132" s="20" t="s">
        <v>10</v>
      </c>
    </row>
    <row r="133" spans="2:9" ht="15" customHeight="1" x14ac:dyDescent="0.2">
      <c r="B133" s="11" t="s">
        <v>34</v>
      </c>
      <c r="C133" s="18">
        <v>1131</v>
      </c>
      <c r="D133" s="11">
        <v>9212</v>
      </c>
      <c r="E133" s="12" t="s">
        <v>21</v>
      </c>
      <c r="F133" s="12">
        <v>175</v>
      </c>
      <c r="G133" s="12">
        <f t="shared" si="8"/>
        <v>26.25</v>
      </c>
      <c r="H133" s="19">
        <f t="shared" si="9"/>
        <v>201.25</v>
      </c>
      <c r="I133" s="20" t="s">
        <v>8</v>
      </c>
    </row>
    <row r="134" spans="2:9" ht="15" customHeight="1" x14ac:dyDescent="0.2">
      <c r="B134" s="8" t="s">
        <v>34</v>
      </c>
      <c r="C134" s="21">
        <v>1132</v>
      </c>
      <c r="D134" s="8">
        <v>9212</v>
      </c>
      <c r="E134" s="9" t="s">
        <v>21</v>
      </c>
      <c r="F134" s="9">
        <v>175</v>
      </c>
      <c r="G134" s="9">
        <f t="shared" si="8"/>
        <v>26.25</v>
      </c>
      <c r="H134" s="22">
        <f t="shared" si="9"/>
        <v>201.25</v>
      </c>
      <c r="I134" s="20" t="s">
        <v>10</v>
      </c>
    </row>
    <row r="135" spans="2:9" ht="15" customHeight="1" x14ac:dyDescent="0.2">
      <c r="B135" s="11" t="s">
        <v>34</v>
      </c>
      <c r="C135" s="18">
        <v>1133</v>
      </c>
      <c r="D135" s="11">
        <v>9822</v>
      </c>
      <c r="E135" s="12" t="s">
        <v>9</v>
      </c>
      <c r="F135" s="12">
        <v>185</v>
      </c>
      <c r="G135" s="12">
        <f t="shared" si="8"/>
        <v>27.75</v>
      </c>
      <c r="H135" s="19">
        <f t="shared" si="9"/>
        <v>212.75</v>
      </c>
      <c r="I135" s="20" t="s">
        <v>8</v>
      </c>
    </row>
    <row r="136" spans="2:9" ht="15" customHeight="1" x14ac:dyDescent="0.2">
      <c r="B136" s="8" t="s">
        <v>34</v>
      </c>
      <c r="C136" s="21">
        <v>1134</v>
      </c>
      <c r="D136" s="8">
        <v>9822</v>
      </c>
      <c r="E136" s="9" t="s">
        <v>9</v>
      </c>
      <c r="F136" s="9">
        <v>185</v>
      </c>
      <c r="G136" s="9">
        <f t="shared" si="8"/>
        <v>27.75</v>
      </c>
      <c r="H136" s="22">
        <f t="shared" si="9"/>
        <v>212.75</v>
      </c>
      <c r="I136" s="20" t="s">
        <v>8</v>
      </c>
    </row>
    <row r="137" spans="2:9" ht="15" customHeight="1" x14ac:dyDescent="0.2">
      <c r="B137" s="11" t="s">
        <v>34</v>
      </c>
      <c r="C137" s="18">
        <v>1135</v>
      </c>
      <c r="D137" s="11">
        <v>8722</v>
      </c>
      <c r="E137" s="12" t="s">
        <v>15</v>
      </c>
      <c r="F137" s="12">
        <v>650</v>
      </c>
      <c r="G137" s="12">
        <f t="shared" si="8"/>
        <v>97.5</v>
      </c>
      <c r="H137" s="19">
        <f t="shared" si="9"/>
        <v>747.5</v>
      </c>
      <c r="I137" s="20" t="s">
        <v>16</v>
      </c>
    </row>
    <row r="138" spans="2:9" ht="15" customHeight="1" x14ac:dyDescent="0.2">
      <c r="B138" s="8" t="s">
        <v>34</v>
      </c>
      <c r="C138" s="21">
        <v>1136</v>
      </c>
      <c r="D138" s="8">
        <v>2242</v>
      </c>
      <c r="E138" s="9" t="s">
        <v>24</v>
      </c>
      <c r="F138" s="9">
        <v>310</v>
      </c>
      <c r="G138" s="9">
        <f t="shared" si="8"/>
        <v>46.5</v>
      </c>
      <c r="H138" s="22">
        <f t="shared" si="9"/>
        <v>356.5</v>
      </c>
      <c r="I138" s="20" t="s">
        <v>14</v>
      </c>
    </row>
    <row r="139" spans="2:9" ht="15" customHeight="1" x14ac:dyDescent="0.2">
      <c r="B139" s="11" t="s">
        <v>34</v>
      </c>
      <c r="C139" s="18">
        <v>1137</v>
      </c>
      <c r="D139" s="11">
        <v>9822</v>
      </c>
      <c r="E139" s="12" t="s">
        <v>9</v>
      </c>
      <c r="F139" s="12">
        <v>185</v>
      </c>
      <c r="G139" s="12">
        <f t="shared" si="8"/>
        <v>27.75</v>
      </c>
      <c r="H139" s="19">
        <f t="shared" si="9"/>
        <v>212.75</v>
      </c>
      <c r="I139" s="20" t="s">
        <v>10</v>
      </c>
    </row>
    <row r="140" spans="2:9" ht="15" customHeight="1" x14ac:dyDescent="0.2">
      <c r="B140" s="8" t="s">
        <v>34</v>
      </c>
      <c r="C140" s="21">
        <v>1138</v>
      </c>
      <c r="D140" s="8">
        <v>8722</v>
      </c>
      <c r="E140" s="9" t="s">
        <v>15</v>
      </c>
      <c r="F140" s="9">
        <v>650</v>
      </c>
      <c r="G140" s="9">
        <f t="shared" si="8"/>
        <v>97.5</v>
      </c>
      <c r="H140" s="22">
        <f t="shared" si="9"/>
        <v>747.5</v>
      </c>
      <c r="I140" s="20" t="s">
        <v>18</v>
      </c>
    </row>
    <row r="141" spans="2:9" ht="15" customHeight="1" x14ac:dyDescent="0.2">
      <c r="B141" s="11" t="s">
        <v>34</v>
      </c>
      <c r="C141" s="18">
        <v>1139</v>
      </c>
      <c r="D141" s="11">
        <v>4421</v>
      </c>
      <c r="E141" s="12" t="s">
        <v>19</v>
      </c>
      <c r="F141" s="12">
        <v>165</v>
      </c>
      <c r="G141" s="12">
        <f t="shared" si="8"/>
        <v>24.75</v>
      </c>
      <c r="H141" s="19">
        <f t="shared" si="9"/>
        <v>189.75</v>
      </c>
      <c r="I141" s="20" t="s">
        <v>10</v>
      </c>
    </row>
    <row r="142" spans="2:9" ht="15" customHeight="1" x14ac:dyDescent="0.2">
      <c r="B142" s="8" t="s">
        <v>34</v>
      </c>
      <c r="C142" s="21">
        <v>1140</v>
      </c>
      <c r="D142" s="8">
        <v>4421</v>
      </c>
      <c r="E142" s="9" t="s">
        <v>19</v>
      </c>
      <c r="F142" s="9">
        <v>165</v>
      </c>
      <c r="G142" s="9">
        <f t="shared" si="8"/>
        <v>24.75</v>
      </c>
      <c r="H142" s="22">
        <f t="shared" si="9"/>
        <v>189.75</v>
      </c>
      <c r="I142" s="20" t="s">
        <v>16</v>
      </c>
    </row>
    <row r="143" spans="2:9" ht="15" customHeight="1" x14ac:dyDescent="0.2">
      <c r="B143" s="11" t="s">
        <v>34</v>
      </c>
      <c r="C143" s="18">
        <v>1141</v>
      </c>
      <c r="D143" s="11">
        <v>9212</v>
      </c>
      <c r="E143" s="12" t="s">
        <v>21</v>
      </c>
      <c r="F143" s="12">
        <v>175</v>
      </c>
      <c r="G143" s="12">
        <f t="shared" si="8"/>
        <v>26.25</v>
      </c>
      <c r="H143" s="19">
        <f t="shared" si="9"/>
        <v>201.25</v>
      </c>
      <c r="I143" s="20" t="s">
        <v>8</v>
      </c>
    </row>
    <row r="144" spans="2:9" ht="15" customHeight="1" x14ac:dyDescent="0.2">
      <c r="B144" s="8" t="s">
        <v>35</v>
      </c>
      <c r="C144" s="21">
        <v>1142</v>
      </c>
      <c r="D144" s="8">
        <v>2242</v>
      </c>
      <c r="E144" s="9" t="s">
        <v>24</v>
      </c>
      <c r="F144" s="9">
        <v>310</v>
      </c>
      <c r="G144" s="9">
        <f t="shared" si="8"/>
        <v>46.5</v>
      </c>
      <c r="H144" s="22">
        <f t="shared" si="9"/>
        <v>356.5</v>
      </c>
      <c r="I144" s="20" t="s">
        <v>16</v>
      </c>
    </row>
    <row r="145" spans="2:9" ht="15" customHeight="1" x14ac:dyDescent="0.2">
      <c r="B145" s="11" t="s">
        <v>35</v>
      </c>
      <c r="C145" s="18">
        <v>1143</v>
      </c>
      <c r="D145" s="11">
        <v>9822</v>
      </c>
      <c r="E145" s="12" t="s">
        <v>9</v>
      </c>
      <c r="F145" s="12">
        <v>185</v>
      </c>
      <c r="G145" s="12">
        <f t="shared" si="8"/>
        <v>27.75</v>
      </c>
      <c r="H145" s="19">
        <f t="shared" si="9"/>
        <v>212.75</v>
      </c>
      <c r="I145" s="20" t="s">
        <v>8</v>
      </c>
    </row>
    <row r="146" spans="2:9" ht="15" customHeight="1" x14ac:dyDescent="0.2">
      <c r="B146" s="8" t="s">
        <v>35</v>
      </c>
      <c r="C146" s="21">
        <v>1144</v>
      </c>
      <c r="D146" s="8">
        <v>2242</v>
      </c>
      <c r="E146" s="9" t="s">
        <v>24</v>
      </c>
      <c r="F146" s="9">
        <v>310</v>
      </c>
      <c r="G146" s="9">
        <f t="shared" si="8"/>
        <v>46.5</v>
      </c>
      <c r="H146" s="22">
        <f t="shared" si="9"/>
        <v>356.5</v>
      </c>
      <c r="I146" s="20" t="s">
        <v>10</v>
      </c>
    </row>
    <row r="147" spans="2:9" ht="15" customHeight="1" x14ac:dyDescent="0.2">
      <c r="B147" s="11" t="s">
        <v>35</v>
      </c>
      <c r="C147" s="18">
        <v>1145</v>
      </c>
      <c r="D147" s="11">
        <v>4421</v>
      </c>
      <c r="E147" s="12" t="s">
        <v>19</v>
      </c>
      <c r="F147" s="12">
        <v>165</v>
      </c>
      <c r="G147" s="12">
        <f t="shared" si="8"/>
        <v>24.75</v>
      </c>
      <c r="H147" s="19">
        <f t="shared" si="9"/>
        <v>189.75</v>
      </c>
      <c r="I147" s="20" t="s">
        <v>14</v>
      </c>
    </row>
    <row r="148" spans="2:9" ht="15" customHeight="1" x14ac:dyDescent="0.2">
      <c r="B148" s="8" t="s">
        <v>36</v>
      </c>
      <c r="C148" s="21">
        <v>1150</v>
      </c>
      <c r="D148" s="8">
        <v>2242</v>
      </c>
      <c r="E148" s="9" t="s">
        <v>24</v>
      </c>
      <c r="F148" s="9">
        <v>310</v>
      </c>
      <c r="G148" s="9">
        <f t="shared" si="8"/>
        <v>46.5</v>
      </c>
      <c r="H148" s="22">
        <f t="shared" si="9"/>
        <v>356.5</v>
      </c>
      <c r="I148" s="20" t="s">
        <v>18</v>
      </c>
    </row>
    <row r="149" spans="2:9" ht="15" customHeight="1" x14ac:dyDescent="0.2">
      <c r="B149" s="11" t="s">
        <v>36</v>
      </c>
      <c r="C149" s="18">
        <v>1151</v>
      </c>
      <c r="D149" s="11">
        <v>2242</v>
      </c>
      <c r="E149" s="12" t="s">
        <v>24</v>
      </c>
      <c r="F149" s="12">
        <v>310</v>
      </c>
      <c r="G149" s="12">
        <f t="shared" si="8"/>
        <v>46.5</v>
      </c>
      <c r="H149" s="19">
        <f t="shared" si="9"/>
        <v>356.5</v>
      </c>
      <c r="I149" s="20" t="s">
        <v>10</v>
      </c>
    </row>
    <row r="150" spans="2:9" ht="15" customHeight="1" x14ac:dyDescent="0.2">
      <c r="B150" s="8" t="s">
        <v>36</v>
      </c>
      <c r="C150" s="21">
        <v>1152</v>
      </c>
      <c r="D150" s="8">
        <v>4421</v>
      </c>
      <c r="E150" s="9" t="s">
        <v>19</v>
      </c>
      <c r="F150" s="9">
        <v>165</v>
      </c>
      <c r="G150" s="9">
        <f t="shared" si="8"/>
        <v>24.75</v>
      </c>
      <c r="H150" s="22">
        <f t="shared" si="9"/>
        <v>189.75</v>
      </c>
      <c r="I150" s="20" t="s">
        <v>16</v>
      </c>
    </row>
    <row r="151" spans="2:9" ht="15" customHeight="1" x14ac:dyDescent="0.2">
      <c r="B151" s="11" t="s">
        <v>36</v>
      </c>
      <c r="C151" s="18">
        <v>1153</v>
      </c>
      <c r="D151" s="11">
        <v>8722</v>
      </c>
      <c r="E151" s="12" t="s">
        <v>15</v>
      </c>
      <c r="F151" s="12">
        <v>650</v>
      </c>
      <c r="G151" s="12">
        <f t="shared" si="8"/>
        <v>97.5</v>
      </c>
      <c r="H151" s="19">
        <f t="shared" si="9"/>
        <v>747.5</v>
      </c>
      <c r="I151" s="20" t="s">
        <v>8</v>
      </c>
    </row>
    <row r="152" spans="2:9" ht="15" customHeight="1" x14ac:dyDescent="0.2">
      <c r="B152" s="8" t="s">
        <v>36</v>
      </c>
      <c r="C152" s="21">
        <v>1154</v>
      </c>
      <c r="D152" s="8">
        <v>9822</v>
      </c>
      <c r="E152" s="9" t="s">
        <v>9</v>
      </c>
      <c r="F152" s="9">
        <v>185</v>
      </c>
      <c r="G152" s="9">
        <f t="shared" si="8"/>
        <v>27.75</v>
      </c>
      <c r="H152" s="22">
        <f t="shared" si="9"/>
        <v>212.75</v>
      </c>
      <c r="I152" s="20" t="s">
        <v>16</v>
      </c>
    </row>
    <row r="153" spans="2:9" ht="15" customHeight="1" x14ac:dyDescent="0.2">
      <c r="B153" s="11" t="s">
        <v>36</v>
      </c>
      <c r="C153" s="18">
        <v>1155</v>
      </c>
      <c r="D153" s="11">
        <v>4421</v>
      </c>
      <c r="E153" s="12" t="s">
        <v>19</v>
      </c>
      <c r="F153" s="12">
        <v>165</v>
      </c>
      <c r="G153" s="12">
        <f t="shared" si="8"/>
        <v>24.75</v>
      </c>
      <c r="H153" s="19">
        <f t="shared" si="9"/>
        <v>189.75</v>
      </c>
      <c r="I153" s="20" t="s">
        <v>8</v>
      </c>
    </row>
    <row r="154" spans="2:9" ht="15" customHeight="1" x14ac:dyDescent="0.2">
      <c r="B154" s="8" t="s">
        <v>36</v>
      </c>
      <c r="C154" s="21">
        <v>1156</v>
      </c>
      <c r="D154" s="8">
        <v>2242</v>
      </c>
      <c r="E154" s="9" t="s">
        <v>24</v>
      </c>
      <c r="F154" s="9">
        <v>310</v>
      </c>
      <c r="G154" s="9">
        <f t="shared" si="8"/>
        <v>46.5</v>
      </c>
      <c r="H154" s="22">
        <f t="shared" si="9"/>
        <v>356.5</v>
      </c>
      <c r="I154" s="20" t="s">
        <v>10</v>
      </c>
    </row>
    <row r="155" spans="2:9" ht="15" customHeight="1" x14ac:dyDescent="0.2">
      <c r="B155" s="11" t="s">
        <v>36</v>
      </c>
      <c r="C155" s="18">
        <v>1157</v>
      </c>
      <c r="D155" s="11">
        <v>9212</v>
      </c>
      <c r="E155" s="12" t="s">
        <v>21</v>
      </c>
      <c r="F155" s="12">
        <v>175</v>
      </c>
      <c r="G155" s="12">
        <f t="shared" si="8"/>
        <v>26.25</v>
      </c>
      <c r="H155" s="19">
        <f t="shared" si="9"/>
        <v>201.25</v>
      </c>
      <c r="I155" s="20" t="s">
        <v>14</v>
      </c>
    </row>
    <row r="156" spans="2:9" ht="15" customHeight="1" x14ac:dyDescent="0.2">
      <c r="B156" s="8" t="s">
        <v>37</v>
      </c>
      <c r="C156" s="21">
        <v>1158</v>
      </c>
      <c r="D156" s="8">
        <v>8722</v>
      </c>
      <c r="E156" s="9" t="s">
        <v>15</v>
      </c>
      <c r="F156" s="9">
        <v>650</v>
      </c>
      <c r="G156" s="9">
        <f t="shared" si="8"/>
        <v>97.5</v>
      </c>
      <c r="H156" s="22">
        <f t="shared" si="9"/>
        <v>747.5</v>
      </c>
      <c r="I156" s="20" t="s">
        <v>16</v>
      </c>
    </row>
    <row r="157" spans="2:9" ht="15" customHeight="1" x14ac:dyDescent="0.2">
      <c r="B157" s="11" t="s">
        <v>37</v>
      </c>
      <c r="C157" s="18">
        <v>1159</v>
      </c>
      <c r="D157" s="11">
        <v>6622</v>
      </c>
      <c r="E157" s="12" t="s">
        <v>23</v>
      </c>
      <c r="F157" s="12">
        <v>230</v>
      </c>
      <c r="G157" s="12">
        <f t="shared" si="8"/>
        <v>34.5</v>
      </c>
      <c r="H157" s="19">
        <f t="shared" si="9"/>
        <v>264.5</v>
      </c>
      <c r="I157" s="20" t="s">
        <v>10</v>
      </c>
    </row>
    <row r="158" spans="2:9" ht="15" customHeight="1" x14ac:dyDescent="0.2">
      <c r="B158" s="8" t="s">
        <v>37</v>
      </c>
      <c r="C158" s="21">
        <v>1160</v>
      </c>
      <c r="D158" s="8">
        <v>9822</v>
      </c>
      <c r="E158" s="9" t="s">
        <v>9</v>
      </c>
      <c r="F158" s="9">
        <v>185</v>
      </c>
      <c r="G158" s="9">
        <f t="shared" si="8"/>
        <v>27.75</v>
      </c>
      <c r="H158" s="22">
        <f t="shared" si="9"/>
        <v>212.75</v>
      </c>
      <c r="I158" s="20" t="s">
        <v>16</v>
      </c>
    </row>
    <row r="159" spans="2:9" ht="15" customHeight="1" x14ac:dyDescent="0.2">
      <c r="B159" s="11" t="s">
        <v>37</v>
      </c>
      <c r="C159" s="18">
        <v>1161</v>
      </c>
      <c r="D159" s="11">
        <v>4421</v>
      </c>
      <c r="E159" s="12" t="s">
        <v>19</v>
      </c>
      <c r="F159" s="12">
        <v>165</v>
      </c>
      <c r="G159" s="12">
        <f t="shared" si="8"/>
        <v>24.75</v>
      </c>
      <c r="H159" s="19">
        <f t="shared" si="9"/>
        <v>189.75</v>
      </c>
      <c r="I159" s="20" t="s">
        <v>10</v>
      </c>
    </row>
    <row r="160" spans="2:9" ht="15" customHeight="1" x14ac:dyDescent="0.2">
      <c r="B160" s="8" t="s">
        <v>37</v>
      </c>
      <c r="C160" s="21">
        <v>1162</v>
      </c>
      <c r="D160" s="8">
        <v>9212</v>
      </c>
      <c r="E160" s="9" t="s">
        <v>21</v>
      </c>
      <c r="F160" s="9">
        <v>175</v>
      </c>
      <c r="G160" s="9">
        <f t="shared" si="8"/>
        <v>26.25</v>
      </c>
      <c r="H160" s="22">
        <f t="shared" si="9"/>
        <v>201.25</v>
      </c>
      <c r="I160" s="20" t="s">
        <v>8</v>
      </c>
    </row>
    <row r="161" spans="2:9" ht="15" customHeight="1" x14ac:dyDescent="0.2">
      <c r="B161" s="11" t="s">
        <v>37</v>
      </c>
      <c r="C161" s="18">
        <v>1163</v>
      </c>
      <c r="D161" s="11">
        <v>9212</v>
      </c>
      <c r="E161" s="12" t="s">
        <v>21</v>
      </c>
      <c r="F161" s="12">
        <v>175</v>
      </c>
      <c r="G161" s="12">
        <f t="shared" si="8"/>
        <v>26.25</v>
      </c>
      <c r="H161" s="19">
        <f t="shared" si="9"/>
        <v>201.25</v>
      </c>
      <c r="I161" s="20" t="s">
        <v>10</v>
      </c>
    </row>
    <row r="162" spans="2:9" ht="15" customHeight="1" x14ac:dyDescent="0.2">
      <c r="B162" s="8" t="s">
        <v>37</v>
      </c>
      <c r="C162" s="21">
        <v>1164</v>
      </c>
      <c r="D162" s="8">
        <v>9822</v>
      </c>
      <c r="E162" s="9" t="s">
        <v>9</v>
      </c>
      <c r="F162" s="9">
        <v>185</v>
      </c>
      <c r="G162" s="9">
        <f t="shared" si="8"/>
        <v>27.75</v>
      </c>
      <c r="H162" s="22">
        <f t="shared" si="9"/>
        <v>212.75</v>
      </c>
      <c r="I162" s="20" t="s">
        <v>8</v>
      </c>
    </row>
    <row r="163" spans="2:9" ht="15" customHeight="1" x14ac:dyDescent="0.2">
      <c r="B163" s="11" t="s">
        <v>37</v>
      </c>
      <c r="C163" s="18">
        <v>1165</v>
      </c>
      <c r="D163" s="11">
        <v>9822</v>
      </c>
      <c r="E163" s="12" t="s">
        <v>9</v>
      </c>
      <c r="F163" s="12">
        <v>185</v>
      </c>
      <c r="G163" s="12">
        <f t="shared" ref="G163:G194" si="10">IF(F163&gt;100,F163*0.15,F163*0.1)</f>
        <v>27.75</v>
      </c>
      <c r="H163" s="19">
        <f t="shared" ref="H163:H194" si="11">F163+G163</f>
        <v>212.75</v>
      </c>
      <c r="I163" s="20" t="s">
        <v>8</v>
      </c>
    </row>
    <row r="164" spans="2:9" ht="15" customHeight="1" x14ac:dyDescent="0.2">
      <c r="B164" s="8" t="s">
        <v>37</v>
      </c>
      <c r="C164" s="21">
        <v>1166</v>
      </c>
      <c r="D164" s="8">
        <v>8722</v>
      </c>
      <c r="E164" s="9" t="s">
        <v>15</v>
      </c>
      <c r="F164" s="9">
        <v>650</v>
      </c>
      <c r="G164" s="9">
        <f t="shared" si="10"/>
        <v>97.5</v>
      </c>
      <c r="H164" s="22">
        <f t="shared" si="11"/>
        <v>747.5</v>
      </c>
      <c r="I164" s="20" t="s">
        <v>16</v>
      </c>
    </row>
    <row r="165" spans="2:9" ht="15" customHeight="1" x14ac:dyDescent="0.2">
      <c r="B165" s="11" t="s">
        <v>38</v>
      </c>
      <c r="C165" s="18">
        <v>1167</v>
      </c>
      <c r="D165" s="11">
        <v>2242</v>
      </c>
      <c r="E165" s="12" t="s">
        <v>24</v>
      </c>
      <c r="F165" s="12">
        <v>310</v>
      </c>
      <c r="G165" s="12">
        <f t="shared" si="10"/>
        <v>46.5</v>
      </c>
      <c r="H165" s="19">
        <f t="shared" si="11"/>
        <v>356.5</v>
      </c>
      <c r="I165" s="20" t="s">
        <v>14</v>
      </c>
    </row>
    <row r="166" spans="2:9" ht="15" customHeight="1" x14ac:dyDescent="0.2">
      <c r="B166" s="8" t="s">
        <v>38</v>
      </c>
      <c r="C166" s="21">
        <v>1168</v>
      </c>
      <c r="D166" s="8">
        <v>9822</v>
      </c>
      <c r="E166" s="9" t="s">
        <v>9</v>
      </c>
      <c r="F166" s="9">
        <v>185</v>
      </c>
      <c r="G166" s="9">
        <f t="shared" si="10"/>
        <v>27.75</v>
      </c>
      <c r="H166" s="22">
        <f t="shared" si="11"/>
        <v>212.75</v>
      </c>
      <c r="I166" s="20" t="s">
        <v>10</v>
      </c>
    </row>
    <row r="167" spans="2:9" ht="15" customHeight="1" x14ac:dyDescent="0.2">
      <c r="B167" s="11" t="s">
        <v>38</v>
      </c>
      <c r="C167" s="18">
        <v>1169</v>
      </c>
      <c r="D167" s="11">
        <v>8722</v>
      </c>
      <c r="E167" s="12" t="s">
        <v>15</v>
      </c>
      <c r="F167" s="12">
        <v>650</v>
      </c>
      <c r="G167" s="12">
        <f t="shared" si="10"/>
        <v>97.5</v>
      </c>
      <c r="H167" s="19">
        <f t="shared" si="11"/>
        <v>747.5</v>
      </c>
      <c r="I167" s="20" t="s">
        <v>18</v>
      </c>
    </row>
    <row r="168" spans="2:9" ht="15" customHeight="1" x14ac:dyDescent="0.2">
      <c r="B168" s="8" t="s">
        <v>38</v>
      </c>
      <c r="C168" s="21">
        <v>1170</v>
      </c>
      <c r="D168" s="8">
        <v>4421</v>
      </c>
      <c r="E168" s="9" t="s">
        <v>19</v>
      </c>
      <c r="F168" s="9">
        <v>165</v>
      </c>
      <c r="G168" s="9">
        <f t="shared" si="10"/>
        <v>24.75</v>
      </c>
      <c r="H168" s="22">
        <f t="shared" si="11"/>
        <v>189.75</v>
      </c>
      <c r="I168" s="20" t="s">
        <v>10</v>
      </c>
    </row>
    <row r="169" spans="2:9" ht="15" customHeight="1" x14ac:dyDescent="0.2">
      <c r="B169" s="11" t="s">
        <v>38</v>
      </c>
      <c r="C169" s="18">
        <v>1171</v>
      </c>
      <c r="D169" s="11">
        <v>4421</v>
      </c>
      <c r="E169" s="12" t="s">
        <v>19</v>
      </c>
      <c r="F169" s="12">
        <v>165</v>
      </c>
      <c r="G169" s="12">
        <f t="shared" si="10"/>
        <v>24.75</v>
      </c>
      <c r="H169" s="19">
        <f t="shared" si="11"/>
        <v>189.75</v>
      </c>
      <c r="I169" s="20" t="s">
        <v>16</v>
      </c>
    </row>
    <row r="170" spans="2:9" ht="15" customHeight="1" x14ac:dyDescent="0.2">
      <c r="B170" s="8" t="s">
        <v>35</v>
      </c>
      <c r="C170" s="21">
        <v>1146</v>
      </c>
      <c r="D170" s="8">
        <v>8722</v>
      </c>
      <c r="E170" s="9" t="s">
        <v>15</v>
      </c>
      <c r="F170" s="9">
        <v>650</v>
      </c>
      <c r="G170" s="9">
        <f t="shared" si="10"/>
        <v>97.5</v>
      </c>
      <c r="H170" s="22">
        <f t="shared" si="11"/>
        <v>747.5</v>
      </c>
      <c r="I170" s="20" t="s">
        <v>16</v>
      </c>
    </row>
    <row r="171" spans="2:9" ht="15" customHeight="1" x14ac:dyDescent="0.2">
      <c r="B171" s="11" t="s">
        <v>35</v>
      </c>
      <c r="C171" s="18">
        <v>1147</v>
      </c>
      <c r="D171" s="11">
        <v>9822</v>
      </c>
      <c r="E171" s="12" t="s">
        <v>9</v>
      </c>
      <c r="F171" s="12">
        <v>185</v>
      </c>
      <c r="G171" s="12">
        <f t="shared" si="10"/>
        <v>27.75</v>
      </c>
      <c r="H171" s="19">
        <f t="shared" si="11"/>
        <v>212.75</v>
      </c>
      <c r="I171" s="20" t="s">
        <v>10</v>
      </c>
    </row>
    <row r="172" spans="2:9" ht="15" customHeight="1" x14ac:dyDescent="0.2">
      <c r="B172" s="8" t="s">
        <v>35</v>
      </c>
      <c r="C172" s="21">
        <v>1148</v>
      </c>
      <c r="D172" s="8">
        <v>9212</v>
      </c>
      <c r="E172" s="9" t="s">
        <v>21</v>
      </c>
      <c r="F172" s="9">
        <v>175</v>
      </c>
      <c r="G172" s="9">
        <f t="shared" si="10"/>
        <v>26.25</v>
      </c>
      <c r="H172" s="22">
        <f t="shared" si="11"/>
        <v>201.25</v>
      </c>
      <c r="I172" s="20" t="s">
        <v>8</v>
      </c>
    </row>
    <row r="173" spans="2:9" ht="15" customHeight="1" x14ac:dyDescent="0.2">
      <c r="B173" s="11" t="s">
        <v>35</v>
      </c>
      <c r="C173" s="18">
        <v>1149</v>
      </c>
      <c r="D173" s="11">
        <v>8722</v>
      </c>
      <c r="E173" s="12" t="s">
        <v>15</v>
      </c>
      <c r="F173" s="12">
        <v>650</v>
      </c>
      <c r="G173" s="12">
        <f t="shared" si="10"/>
        <v>97.5</v>
      </c>
      <c r="H173" s="19">
        <f t="shared" si="11"/>
        <v>747.5</v>
      </c>
      <c r="I173" s="23" t="s">
        <v>8</v>
      </c>
    </row>
    <row r="174" spans="2:9" ht="15" customHeight="1" x14ac:dyDescent="0.2"/>
    <row r="175" spans="2:9" ht="15" customHeight="1" x14ac:dyDescent="0.2">
      <c r="E175" s="24" t="s">
        <v>50</v>
      </c>
      <c r="F175" s="25">
        <f>SUM(F3:F173)</f>
        <v>38945</v>
      </c>
      <c r="G175" s="26"/>
    </row>
    <row r="176" spans="2:9" ht="15" customHeight="1" x14ac:dyDescent="0.2">
      <c r="E176" s="24" t="s">
        <v>51</v>
      </c>
      <c r="F176" s="25">
        <f>SUMIF(F3:F173,"&gt;100")</f>
        <v>36665</v>
      </c>
      <c r="G176" s="26"/>
    </row>
    <row r="177" spans="5:7" ht="15" customHeight="1" x14ac:dyDescent="0.2">
      <c r="E177" s="24" t="s">
        <v>52</v>
      </c>
      <c r="F177" s="25">
        <f>SUMIF(F4:F174,"&lt;100")</f>
        <v>2280</v>
      </c>
      <c r="G177" s="26"/>
    </row>
  </sheetData>
  <autoFilter ref="B2:I173" xr:uid="{00000000-0009-0000-0000-000001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Sales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dc:description/>
  <cp:lastModifiedBy>Muhammad Zaid Kamil</cp:lastModifiedBy>
  <cp:revision>5</cp:revision>
  <dcterms:created xsi:type="dcterms:W3CDTF">2014-06-11T22:14:31Z</dcterms:created>
  <dcterms:modified xsi:type="dcterms:W3CDTF">2026-06-22T16:32:48Z</dcterms:modified>
  <dc:language>en-US</dc:language>
</cp:coreProperties>
</file>